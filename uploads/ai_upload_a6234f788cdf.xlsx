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tm\"/>
    </mc:Choice>
  </mc:AlternateContent>
  <xr:revisionPtr revIDLastSave="0" documentId="8_{1252353E-095C-459B-B78E-B47FA8EED234}" xr6:coauthVersionLast="47" xr6:coauthVersionMax="47" xr10:uidLastSave="{00000000-0000-0000-0000-000000000000}"/>
  <bookViews>
    <workbookView xWindow="-108" yWindow="180" windowWidth="23256" windowHeight="12888" xr2:uid="{575B4BFB-AD0E-409A-B461-F8BF135BA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4" i="1" l="1"/>
  <c r="J84" i="1"/>
  <c r="H84" i="1"/>
  <c r="D84" i="1"/>
  <c r="C84" i="1"/>
  <c r="E83" i="1"/>
  <c r="I83" i="1" s="1"/>
  <c r="K83" i="1" s="1"/>
  <c r="M83" i="1" s="1"/>
  <c r="E82" i="1"/>
  <c r="I82" i="1" s="1"/>
  <c r="K82" i="1" s="1"/>
  <c r="M82" i="1" s="1"/>
  <c r="I81" i="1"/>
  <c r="K81" i="1" s="1"/>
  <c r="M81" i="1" s="1"/>
  <c r="E81" i="1"/>
  <c r="E80" i="1"/>
  <c r="I80" i="1" s="1"/>
  <c r="K80" i="1" s="1"/>
  <c r="M80" i="1" s="1"/>
  <c r="E79" i="1"/>
  <c r="I79" i="1" s="1"/>
  <c r="K79" i="1" s="1"/>
  <c r="M79" i="1" s="1"/>
  <c r="I78" i="1"/>
  <c r="K78" i="1" s="1"/>
  <c r="M78" i="1" s="1"/>
  <c r="E78" i="1"/>
  <c r="E77" i="1"/>
  <c r="I77" i="1" s="1"/>
  <c r="K77" i="1" s="1"/>
  <c r="M77" i="1" s="1"/>
  <c r="E76" i="1"/>
  <c r="I76" i="1" s="1"/>
  <c r="K76" i="1" s="1"/>
  <c r="M76" i="1" s="1"/>
  <c r="I75" i="1"/>
  <c r="K75" i="1" s="1"/>
  <c r="M75" i="1" s="1"/>
  <c r="E75" i="1"/>
  <c r="E74" i="1"/>
  <c r="I74" i="1" s="1"/>
  <c r="K74" i="1" s="1"/>
  <c r="M74" i="1" s="1"/>
  <c r="E73" i="1"/>
  <c r="I73" i="1" s="1"/>
  <c r="K73" i="1" s="1"/>
  <c r="M73" i="1" s="1"/>
  <c r="I72" i="1"/>
  <c r="K72" i="1" s="1"/>
  <c r="M72" i="1" s="1"/>
  <c r="E72" i="1"/>
  <c r="E71" i="1"/>
  <c r="I71" i="1" s="1"/>
  <c r="K71" i="1" s="1"/>
  <c r="M71" i="1" s="1"/>
  <c r="E70" i="1"/>
  <c r="I70" i="1" s="1"/>
  <c r="K70" i="1" s="1"/>
  <c r="M70" i="1" s="1"/>
  <c r="I69" i="1"/>
  <c r="K69" i="1" s="1"/>
  <c r="M69" i="1" s="1"/>
  <c r="E69" i="1"/>
  <c r="E68" i="1"/>
  <c r="I68" i="1" s="1"/>
  <c r="K68" i="1" s="1"/>
  <c r="M68" i="1" s="1"/>
  <c r="E67" i="1"/>
  <c r="I67" i="1" s="1"/>
  <c r="K67" i="1" s="1"/>
  <c r="M67" i="1" s="1"/>
  <c r="I66" i="1"/>
  <c r="K66" i="1" s="1"/>
  <c r="M66" i="1" s="1"/>
  <c r="E66" i="1"/>
  <c r="E65" i="1"/>
  <c r="I65" i="1" s="1"/>
  <c r="K65" i="1" s="1"/>
  <c r="M65" i="1" s="1"/>
  <c r="E64" i="1"/>
  <c r="I64" i="1" s="1"/>
  <c r="K64" i="1" s="1"/>
  <c r="M64" i="1" s="1"/>
  <c r="I63" i="1"/>
  <c r="K63" i="1" s="1"/>
  <c r="M63" i="1" s="1"/>
  <c r="E63" i="1"/>
  <c r="E62" i="1"/>
  <c r="I62" i="1" s="1"/>
  <c r="K62" i="1" s="1"/>
  <c r="M62" i="1" s="1"/>
  <c r="E61" i="1"/>
  <c r="I61" i="1" s="1"/>
  <c r="K61" i="1" s="1"/>
  <c r="M61" i="1" s="1"/>
  <c r="I60" i="1"/>
  <c r="K60" i="1" s="1"/>
  <c r="M60" i="1" s="1"/>
  <c r="E60" i="1"/>
  <c r="E59" i="1"/>
  <c r="I59" i="1" s="1"/>
  <c r="K59" i="1" s="1"/>
  <c r="M59" i="1" s="1"/>
  <c r="E58" i="1"/>
  <c r="I58" i="1" s="1"/>
  <c r="K58" i="1" s="1"/>
  <c r="M58" i="1" s="1"/>
  <c r="I57" i="1"/>
  <c r="K57" i="1" s="1"/>
  <c r="M57" i="1" s="1"/>
  <c r="E57" i="1"/>
  <c r="E56" i="1"/>
  <c r="I56" i="1" s="1"/>
  <c r="K56" i="1" s="1"/>
  <c r="M56" i="1" s="1"/>
  <c r="E55" i="1"/>
  <c r="I55" i="1" s="1"/>
  <c r="K55" i="1" s="1"/>
  <c r="M55" i="1" s="1"/>
  <c r="I54" i="1"/>
  <c r="K54" i="1" s="1"/>
  <c r="M54" i="1" s="1"/>
  <c r="E54" i="1"/>
  <c r="E53" i="1"/>
  <c r="I53" i="1" s="1"/>
  <c r="K53" i="1" s="1"/>
  <c r="M53" i="1" s="1"/>
  <c r="E52" i="1"/>
  <c r="I52" i="1" s="1"/>
  <c r="K52" i="1" s="1"/>
  <c r="M52" i="1" s="1"/>
  <c r="I51" i="1"/>
  <c r="K51" i="1" s="1"/>
  <c r="M51" i="1" s="1"/>
  <c r="E51" i="1"/>
  <c r="E50" i="1"/>
  <c r="I50" i="1" s="1"/>
  <c r="K50" i="1" s="1"/>
  <c r="M50" i="1" s="1"/>
  <c r="E49" i="1"/>
  <c r="I49" i="1" s="1"/>
  <c r="K49" i="1" s="1"/>
  <c r="M49" i="1" s="1"/>
  <c r="I48" i="1"/>
  <c r="K48" i="1" s="1"/>
  <c r="M48" i="1" s="1"/>
  <c r="E48" i="1"/>
  <c r="E47" i="1"/>
  <c r="I47" i="1" s="1"/>
  <c r="K47" i="1" s="1"/>
  <c r="M47" i="1" s="1"/>
  <c r="E46" i="1"/>
  <c r="I46" i="1" s="1"/>
  <c r="K46" i="1" s="1"/>
  <c r="M46" i="1" s="1"/>
  <c r="I45" i="1"/>
  <c r="K45" i="1" s="1"/>
  <c r="M45" i="1" s="1"/>
  <c r="E45" i="1"/>
  <c r="E44" i="1"/>
  <c r="I44" i="1" s="1"/>
  <c r="K44" i="1" s="1"/>
  <c r="M44" i="1" s="1"/>
  <c r="E43" i="1"/>
  <c r="I43" i="1" s="1"/>
  <c r="K43" i="1" s="1"/>
  <c r="M43" i="1" s="1"/>
  <c r="I42" i="1"/>
  <c r="K42" i="1" s="1"/>
  <c r="M42" i="1" s="1"/>
  <c r="E42" i="1"/>
  <c r="E41" i="1"/>
  <c r="I41" i="1" s="1"/>
  <c r="K41" i="1" s="1"/>
  <c r="M41" i="1" s="1"/>
  <c r="E40" i="1"/>
  <c r="I40" i="1" s="1"/>
  <c r="K40" i="1" s="1"/>
  <c r="M40" i="1" s="1"/>
  <c r="I39" i="1"/>
  <c r="K39" i="1" s="1"/>
  <c r="M39" i="1" s="1"/>
  <c r="E39" i="1"/>
  <c r="E38" i="1"/>
  <c r="I38" i="1" s="1"/>
  <c r="K38" i="1" s="1"/>
  <c r="M38" i="1" s="1"/>
  <c r="E37" i="1"/>
  <c r="I37" i="1" s="1"/>
  <c r="K37" i="1" s="1"/>
  <c r="M37" i="1" s="1"/>
  <c r="I36" i="1"/>
  <c r="K36" i="1" s="1"/>
  <c r="M36" i="1" s="1"/>
  <c r="E36" i="1"/>
  <c r="E35" i="1"/>
  <c r="I35" i="1" s="1"/>
  <c r="K35" i="1" s="1"/>
  <c r="M35" i="1" s="1"/>
  <c r="E34" i="1"/>
  <c r="I34" i="1" s="1"/>
  <c r="K34" i="1" s="1"/>
  <c r="M34" i="1" s="1"/>
  <c r="I33" i="1"/>
  <c r="K33" i="1" s="1"/>
  <c r="M33" i="1" s="1"/>
  <c r="E33" i="1"/>
  <c r="E32" i="1"/>
  <c r="I32" i="1" s="1"/>
  <c r="K32" i="1" s="1"/>
  <c r="M32" i="1" s="1"/>
  <c r="E31" i="1"/>
  <c r="I31" i="1" s="1"/>
  <c r="K31" i="1" s="1"/>
  <c r="M31" i="1" s="1"/>
  <c r="E30" i="1"/>
  <c r="I30" i="1" s="1"/>
  <c r="K30" i="1" s="1"/>
  <c r="I29" i="1"/>
  <c r="K29" i="1" s="1"/>
  <c r="M29" i="1" s="1"/>
  <c r="E29" i="1"/>
  <c r="I28" i="1"/>
  <c r="K28" i="1" s="1"/>
  <c r="M28" i="1" s="1"/>
  <c r="E28" i="1"/>
  <c r="E27" i="1"/>
  <c r="I27" i="1" s="1"/>
  <c r="K27" i="1" s="1"/>
  <c r="M27" i="1" s="1"/>
  <c r="I26" i="1"/>
  <c r="K26" i="1" s="1"/>
  <c r="M26" i="1" s="1"/>
  <c r="E26" i="1"/>
  <c r="I25" i="1"/>
  <c r="K25" i="1" s="1"/>
  <c r="M25" i="1" s="1"/>
  <c r="E25" i="1"/>
  <c r="E24" i="1"/>
  <c r="I24" i="1" s="1"/>
  <c r="K24" i="1" s="1"/>
  <c r="M24" i="1" s="1"/>
  <c r="I23" i="1"/>
  <c r="K23" i="1" s="1"/>
  <c r="M23" i="1" s="1"/>
  <c r="E23" i="1"/>
  <c r="I22" i="1"/>
  <c r="K22" i="1" s="1"/>
  <c r="M22" i="1" s="1"/>
  <c r="E22" i="1"/>
  <c r="E21" i="1"/>
  <c r="I21" i="1" s="1"/>
  <c r="K21" i="1" s="1"/>
  <c r="M21" i="1" s="1"/>
  <c r="I20" i="1"/>
  <c r="K20" i="1" s="1"/>
  <c r="M20" i="1" s="1"/>
  <c r="E20" i="1"/>
  <c r="I19" i="1"/>
  <c r="K19" i="1" s="1"/>
  <c r="M19" i="1" s="1"/>
  <c r="E19" i="1"/>
  <c r="E18" i="1"/>
  <c r="I18" i="1" s="1"/>
  <c r="K18" i="1" s="1"/>
  <c r="M18" i="1" s="1"/>
  <c r="I17" i="1"/>
  <c r="K17" i="1" s="1"/>
  <c r="M17" i="1" s="1"/>
  <c r="E17" i="1"/>
  <c r="I16" i="1"/>
  <c r="K16" i="1" s="1"/>
  <c r="M16" i="1" s="1"/>
  <c r="E16" i="1"/>
  <c r="E15" i="1"/>
  <c r="I15" i="1" s="1"/>
  <c r="K15" i="1" s="1"/>
  <c r="M15" i="1" s="1"/>
  <c r="I14" i="1"/>
  <c r="K14" i="1" s="1"/>
  <c r="M14" i="1" s="1"/>
  <c r="E14" i="1"/>
  <c r="I13" i="1"/>
  <c r="K13" i="1" s="1"/>
  <c r="M13" i="1" s="1"/>
  <c r="E13" i="1"/>
  <c r="E12" i="1"/>
  <c r="I12" i="1" s="1"/>
  <c r="K12" i="1" s="1"/>
  <c r="M12" i="1" s="1"/>
  <c r="I11" i="1"/>
  <c r="K11" i="1" s="1"/>
  <c r="M11" i="1" s="1"/>
  <c r="E11" i="1"/>
  <c r="I10" i="1"/>
  <c r="K10" i="1" s="1"/>
  <c r="M10" i="1" s="1"/>
  <c r="E10" i="1"/>
  <c r="M9" i="1"/>
  <c r="I9" i="1"/>
  <c r="E9" i="1"/>
  <c r="E8" i="1"/>
  <c r="I8" i="1" s="1"/>
  <c r="K8" i="1" s="1"/>
  <c r="M8" i="1" s="1"/>
  <c r="E7" i="1"/>
  <c r="I7" i="1" s="1"/>
  <c r="K7" i="1" s="1"/>
  <c r="M7" i="1" s="1"/>
  <c r="K6" i="1"/>
  <c r="M6" i="1" s="1"/>
  <c r="I6" i="1"/>
  <c r="E6" i="1"/>
  <c r="E5" i="1"/>
  <c r="I5" i="1" s="1"/>
  <c r="K5" i="1" s="1"/>
  <c r="M5" i="1" s="1"/>
  <c r="E4" i="1"/>
  <c r="I4" i="1" s="1"/>
  <c r="K4" i="1" s="1"/>
  <c r="M4" i="1" s="1"/>
  <c r="K3" i="1"/>
  <c r="I3" i="1"/>
  <c r="E3" i="1"/>
  <c r="E84" i="1" s="1"/>
  <c r="I84" i="1" l="1"/>
  <c r="K84" i="1"/>
  <c r="M3" i="1"/>
  <c r="M84" i="1" s="1"/>
</calcChain>
</file>

<file path=xl/sharedStrings.xml><?xml version="1.0" encoding="utf-8"?>
<sst xmlns="http://schemas.openxmlformats.org/spreadsheetml/2006/main" count="340" uniqueCount="80">
  <si>
    <t>Sales (APRIL)</t>
  </si>
  <si>
    <t>Date</t>
  </si>
  <si>
    <t>Vehicle No.</t>
  </si>
  <si>
    <t>Gross Wt.</t>
  </si>
  <si>
    <t>Tare (Empty Wt.)</t>
  </si>
  <si>
    <t>Net Wt.</t>
  </si>
  <si>
    <t>Size</t>
  </si>
  <si>
    <t>Party Name</t>
  </si>
  <si>
    <t>Rate</t>
  </si>
  <si>
    <t>Amount</t>
  </si>
  <si>
    <t>Charges</t>
  </si>
  <si>
    <t>Total</t>
  </si>
  <si>
    <t>Rebate</t>
  </si>
  <si>
    <t>Amount Received</t>
  </si>
  <si>
    <t>Remarks</t>
  </si>
  <si>
    <t>OD09X3940</t>
  </si>
  <si>
    <t>10MM</t>
  </si>
  <si>
    <t xml:space="preserve">GAURO HARI </t>
  </si>
  <si>
    <t>CASH</t>
  </si>
  <si>
    <t>OD14E8350</t>
  </si>
  <si>
    <t>20MM</t>
  </si>
  <si>
    <t>ADARSH AGARWAL</t>
  </si>
  <si>
    <t>ONLINE</t>
  </si>
  <si>
    <t>OD09R9279</t>
  </si>
  <si>
    <t>MUNA NAIK</t>
  </si>
  <si>
    <t>OD14E9097</t>
  </si>
  <si>
    <t>H.BARIK</t>
  </si>
  <si>
    <t>NAGENDRA PRADHAN</t>
  </si>
  <si>
    <t>KAMANDA</t>
  </si>
  <si>
    <t>ADVANCE</t>
  </si>
  <si>
    <t>OD14E9742</t>
  </si>
  <si>
    <t>BINOD SAHU</t>
  </si>
  <si>
    <t>DUST</t>
  </si>
  <si>
    <t>SHREE RAM TRADER</t>
  </si>
  <si>
    <t>OD09G0912</t>
  </si>
  <si>
    <t>CHAKRADHAR CHAMPIA</t>
  </si>
  <si>
    <t>OD14E7440</t>
  </si>
  <si>
    <t>S.N.SINGH NILANCHAL</t>
  </si>
  <si>
    <t>CREDIT</t>
  </si>
  <si>
    <t>SANKAR PRASAD</t>
  </si>
  <si>
    <t>40MM</t>
  </si>
  <si>
    <t>PEO MALDA</t>
  </si>
  <si>
    <t>OD14E8395</t>
  </si>
  <si>
    <t>BOLDER</t>
  </si>
  <si>
    <t>BALAJEE</t>
  </si>
  <si>
    <t>OD14E8349</t>
  </si>
  <si>
    <t>NARESH SINGH</t>
  </si>
  <si>
    <t>OD14E8399</t>
  </si>
  <si>
    <t>KRUSHNA CHANDRA</t>
  </si>
  <si>
    <t>NANA GWALI</t>
  </si>
  <si>
    <t>DHIREN BABU</t>
  </si>
  <si>
    <t>OD14Z7210</t>
  </si>
  <si>
    <t>B.K.BARIK</t>
  </si>
  <si>
    <t>L&amp;T</t>
  </si>
  <si>
    <t>OD14E7830</t>
  </si>
  <si>
    <t>GOURI RUGDI</t>
  </si>
  <si>
    <t>OD09R3256</t>
  </si>
  <si>
    <t>SUJIT BEHRA SARGIGARH</t>
  </si>
  <si>
    <t>GOURI SHANEAR</t>
  </si>
  <si>
    <t>OD33AP7110</t>
  </si>
  <si>
    <t>ASHISH RAI</t>
  </si>
  <si>
    <t>NEW EXPRESSION</t>
  </si>
  <si>
    <t>JENA</t>
  </si>
  <si>
    <t>OD14E9271</t>
  </si>
  <si>
    <t>OD14Y2321</t>
  </si>
  <si>
    <t>DEBU JAISWAL</t>
  </si>
  <si>
    <t>OD14Y6621</t>
  </si>
  <si>
    <t>ABHISHEK TOPNA</t>
  </si>
  <si>
    <t>SP BENEFICATION</t>
  </si>
  <si>
    <t>ASHUTOSH MOHANTY</t>
  </si>
  <si>
    <t>WB03D5601</t>
  </si>
  <si>
    <t>S.SLALA</t>
  </si>
  <si>
    <t>NAIK CHAMPA</t>
  </si>
  <si>
    <t>OD14AH7157</t>
  </si>
  <si>
    <t>AJIT KUMAR GWALI</t>
  </si>
  <si>
    <t xml:space="preserve">PEO MALDA </t>
  </si>
  <si>
    <t>ANMS/L&amp;T SEGASAHI</t>
  </si>
  <si>
    <t>GOURA HARI RUGUDI</t>
  </si>
  <si>
    <t>NAIK BABU NEAR UP SCHOOL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</si>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</sst>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00"/>
  </numFmts>
  <fonts count="5" x14ac:knownFonts="1">
    <font>
      <sz val="11"/>
      <color theme="1"/>
      <name val="Aptos Narrow"/>
      <family val="2"/>
      <scheme val="minor"/>
    </font>
    <font>
      <b/>
      <sz val="25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D965"/>
        <bgColor rgb="FFFFD965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10" xfId="0" applyFont="1" applyBorder="1"/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vertical="center"/>
    </xf>
    <xf numFmtId="14" fontId="4" fillId="0" borderId="7" xfId="0" applyNumberFormat="1" applyFont="1" applyBorder="1" applyAlignment="1">
      <alignment vertical="center"/>
    </xf>
    <xf numFmtId="0" fontId="2" fillId="0" borderId="13" xfId="0" applyFont="1" applyBorder="1"/>
    <xf numFmtId="0" fontId="4" fillId="0" borderId="14" xfId="0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64" fontId="4" fillId="0" borderId="20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2" fillId="0" borderId="22" xfId="0" applyFont="1" applyBorder="1"/>
    <xf numFmtId="165" fontId="4" fillId="0" borderId="20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3" xfId="0" applyFont="1" applyBorder="1"/>
    <xf numFmtId="2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C6AE-DD0E-497E-A586-F3DF752639D5}">
  <dimension ref="A1:N84"/>
  <sheetViews>
    <sheetView tabSelected="1" workbookViewId="0">
      <selection activeCell="P8" sqref="P8"/>
    </sheetView>
  </sheetViews>
  <sheetFormatPr defaultRowHeight="14.4" x14ac:dyDescent="0.3"/>
  <cols>
    <col min="1" max="1" width="15.77734375" customWidth="1"/>
    <col min="2" max="2" width="14.6640625" customWidth="1"/>
    <col min="3" max="3" width="12.44140625" customWidth="1"/>
    <col min="6" max="6" width="12" customWidth="1"/>
    <col min="7" max="7" width="15.44140625" customWidth="1"/>
    <col min="8" max="8" width="14.5546875" customWidth="1"/>
    <col min="9" max="9" width="15" customWidth="1"/>
    <col min="10" max="10" width="14.21875" customWidth="1"/>
    <col min="11" max="11" width="15.33203125" customWidth="1"/>
    <col min="13" max="13" width="15.6640625" customWidth="1"/>
  </cols>
  <sheetData>
    <row r="1" spans="1:14" ht="33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" thickBot="1" x14ac:dyDescent="0.3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6" t="s">
        <v>14</v>
      </c>
    </row>
    <row r="3" spans="1:14" ht="15" thickBot="1" x14ac:dyDescent="0.35">
      <c r="A3" s="7">
        <v>45749</v>
      </c>
      <c r="B3" s="8" t="s">
        <v>15</v>
      </c>
      <c r="C3" s="8">
        <v>4.93</v>
      </c>
      <c r="D3" s="8">
        <v>2.88</v>
      </c>
      <c r="E3" s="8">
        <f t="shared" ref="E3:E83" si="0">C3-D3</f>
        <v>2.0499999999999998</v>
      </c>
      <c r="F3" s="8" t="s">
        <v>16</v>
      </c>
      <c r="G3" s="8" t="s">
        <v>17</v>
      </c>
      <c r="H3" s="9">
        <v>1200</v>
      </c>
      <c r="I3" s="9">
        <f t="shared" ref="I3:I83" si="1">H3*E3</f>
        <v>2460</v>
      </c>
      <c r="J3" s="9">
        <v>0</v>
      </c>
      <c r="K3" s="9">
        <f t="shared" ref="K3:K8" si="2">I3+J3</f>
        <v>2460</v>
      </c>
      <c r="L3" s="9">
        <v>0</v>
      </c>
      <c r="M3" s="9">
        <f t="shared" ref="M3:M29" si="3">K3-L3</f>
        <v>2460</v>
      </c>
      <c r="N3" s="10" t="s">
        <v>18</v>
      </c>
    </row>
    <row r="4" spans="1:14" ht="15" thickBot="1" x14ac:dyDescent="0.35">
      <c r="A4" s="7">
        <v>45750</v>
      </c>
      <c r="B4" s="8" t="s">
        <v>19</v>
      </c>
      <c r="C4" s="8">
        <v>30.45</v>
      </c>
      <c r="D4" s="8">
        <v>9.84</v>
      </c>
      <c r="E4" s="8">
        <f t="shared" si="0"/>
        <v>20.61</v>
      </c>
      <c r="F4" s="8" t="s">
        <v>20</v>
      </c>
      <c r="G4" s="8" t="s">
        <v>21</v>
      </c>
      <c r="H4" s="9">
        <v>1350</v>
      </c>
      <c r="I4" s="9">
        <f t="shared" si="1"/>
        <v>27823.5</v>
      </c>
      <c r="J4" s="9">
        <v>2000</v>
      </c>
      <c r="K4" s="9">
        <f t="shared" si="2"/>
        <v>29823.5</v>
      </c>
      <c r="L4" s="9">
        <v>3.5</v>
      </c>
      <c r="M4" s="9">
        <f t="shared" si="3"/>
        <v>29820</v>
      </c>
      <c r="N4" s="10" t="s">
        <v>22</v>
      </c>
    </row>
    <row r="5" spans="1:14" ht="15" thickBot="1" x14ac:dyDescent="0.35">
      <c r="A5" s="7">
        <v>45751</v>
      </c>
      <c r="B5" s="8" t="s">
        <v>23</v>
      </c>
      <c r="C5" s="8">
        <v>5.69</v>
      </c>
      <c r="D5" s="8">
        <v>2.93</v>
      </c>
      <c r="E5" s="8">
        <f t="shared" si="0"/>
        <v>2.7600000000000002</v>
      </c>
      <c r="F5" s="8" t="s">
        <v>16</v>
      </c>
      <c r="G5" s="8" t="s">
        <v>24</v>
      </c>
      <c r="H5" s="9">
        <v>1250</v>
      </c>
      <c r="I5" s="9">
        <f t="shared" si="1"/>
        <v>3450.0000000000005</v>
      </c>
      <c r="J5" s="9">
        <v>0</v>
      </c>
      <c r="K5" s="9">
        <f t="shared" si="2"/>
        <v>3450.0000000000005</v>
      </c>
      <c r="L5" s="9">
        <v>0</v>
      </c>
      <c r="M5" s="9">
        <f t="shared" si="3"/>
        <v>3450.0000000000005</v>
      </c>
      <c r="N5" s="10" t="s">
        <v>18</v>
      </c>
    </row>
    <row r="6" spans="1:14" ht="15" thickBot="1" x14ac:dyDescent="0.35">
      <c r="A6" s="7">
        <v>45753</v>
      </c>
      <c r="B6" s="8" t="s">
        <v>25</v>
      </c>
      <c r="C6" s="8">
        <v>25.37</v>
      </c>
      <c r="D6" s="8">
        <v>9.7100000000000009</v>
      </c>
      <c r="E6" s="8">
        <f t="shared" si="0"/>
        <v>15.66</v>
      </c>
      <c r="F6" s="8" t="s">
        <v>20</v>
      </c>
      <c r="G6" s="8" t="s">
        <v>26</v>
      </c>
      <c r="H6" s="9">
        <v>1350</v>
      </c>
      <c r="I6" s="9">
        <f t="shared" si="1"/>
        <v>21141</v>
      </c>
      <c r="J6" s="9">
        <v>3500</v>
      </c>
      <c r="K6" s="9">
        <f t="shared" si="2"/>
        <v>24641</v>
      </c>
      <c r="L6" s="9">
        <v>1</v>
      </c>
      <c r="M6" s="9">
        <f t="shared" si="3"/>
        <v>24640</v>
      </c>
      <c r="N6" s="10" t="s">
        <v>22</v>
      </c>
    </row>
    <row r="7" spans="1:14" x14ac:dyDescent="0.3">
      <c r="A7" s="11">
        <v>45754</v>
      </c>
      <c r="B7" s="12" t="s">
        <v>19</v>
      </c>
      <c r="C7" s="12">
        <v>19.75</v>
      </c>
      <c r="D7" s="12">
        <v>9.82</v>
      </c>
      <c r="E7" s="12">
        <f t="shared" si="0"/>
        <v>9.93</v>
      </c>
      <c r="F7" s="12" t="s">
        <v>16</v>
      </c>
      <c r="G7" s="12" t="s">
        <v>27</v>
      </c>
      <c r="H7" s="13">
        <v>1200</v>
      </c>
      <c r="I7" s="13">
        <f t="shared" si="1"/>
        <v>11916</v>
      </c>
      <c r="J7" s="13">
        <v>2000</v>
      </c>
      <c r="K7" s="13">
        <f t="shared" si="2"/>
        <v>13916</v>
      </c>
      <c r="L7" s="13">
        <v>16</v>
      </c>
      <c r="M7" s="13">
        <f t="shared" si="3"/>
        <v>13900</v>
      </c>
      <c r="N7" s="14" t="s">
        <v>22</v>
      </c>
    </row>
    <row r="8" spans="1:14" ht="15" thickBot="1" x14ac:dyDescent="0.35">
      <c r="A8" s="15"/>
      <c r="B8" s="16" t="s">
        <v>25</v>
      </c>
      <c r="C8" s="16">
        <v>30.63</v>
      </c>
      <c r="D8" s="16">
        <v>9.69</v>
      </c>
      <c r="E8" s="16">
        <f t="shared" si="0"/>
        <v>20.939999999999998</v>
      </c>
      <c r="F8" s="16" t="s">
        <v>20</v>
      </c>
      <c r="G8" s="16" t="s">
        <v>28</v>
      </c>
      <c r="H8" s="17">
        <v>1350</v>
      </c>
      <c r="I8" s="17">
        <f t="shared" si="1"/>
        <v>28268.999999999996</v>
      </c>
      <c r="J8" s="17">
        <v>0</v>
      </c>
      <c r="K8" s="17">
        <f t="shared" si="2"/>
        <v>28268.999999999996</v>
      </c>
      <c r="L8" s="17">
        <v>0</v>
      </c>
      <c r="M8" s="17">
        <f t="shared" si="3"/>
        <v>28268.999999999996</v>
      </c>
      <c r="N8" s="18" t="s">
        <v>29</v>
      </c>
    </row>
    <row r="9" spans="1:14" ht="15" thickBot="1" x14ac:dyDescent="0.35">
      <c r="A9" s="19">
        <v>45756</v>
      </c>
      <c r="B9" s="8" t="s">
        <v>30</v>
      </c>
      <c r="C9" s="8">
        <v>3.58</v>
      </c>
      <c r="D9" s="8">
        <v>2.0099999999999998</v>
      </c>
      <c r="E9" s="8">
        <f t="shared" si="0"/>
        <v>1.5700000000000003</v>
      </c>
      <c r="F9" s="8" t="s">
        <v>16</v>
      </c>
      <c r="G9" s="8" t="s">
        <v>31</v>
      </c>
      <c r="H9" s="9">
        <v>1200</v>
      </c>
      <c r="I9" s="9">
        <f t="shared" si="1"/>
        <v>1884.0000000000005</v>
      </c>
      <c r="J9" s="9">
        <v>0</v>
      </c>
      <c r="K9" s="9">
        <v>1890</v>
      </c>
      <c r="L9" s="9">
        <v>0</v>
      </c>
      <c r="M9" s="9">
        <f t="shared" si="3"/>
        <v>1890</v>
      </c>
      <c r="N9" s="10" t="s">
        <v>22</v>
      </c>
    </row>
    <row r="10" spans="1:14" x14ac:dyDescent="0.3">
      <c r="A10" s="20">
        <v>45757</v>
      </c>
      <c r="B10" s="12" t="s">
        <v>25</v>
      </c>
      <c r="C10" s="12">
        <v>27.35</v>
      </c>
      <c r="D10" s="12">
        <v>9.6999999999999993</v>
      </c>
      <c r="E10" s="12">
        <f t="shared" si="0"/>
        <v>17.650000000000002</v>
      </c>
      <c r="F10" s="12" t="s">
        <v>32</v>
      </c>
      <c r="G10" s="12" t="s">
        <v>33</v>
      </c>
      <c r="H10" s="13">
        <v>500</v>
      </c>
      <c r="I10" s="13">
        <f t="shared" si="1"/>
        <v>8825.0000000000018</v>
      </c>
      <c r="J10" s="13">
        <v>1000</v>
      </c>
      <c r="K10" s="13">
        <f t="shared" ref="K10:K83" si="4">I10+J10</f>
        <v>9825.0000000000018</v>
      </c>
      <c r="L10" s="13">
        <v>25</v>
      </c>
      <c r="M10" s="13">
        <f t="shared" si="3"/>
        <v>9800.0000000000018</v>
      </c>
      <c r="N10" s="14" t="s">
        <v>22</v>
      </c>
    </row>
    <row r="11" spans="1:14" x14ac:dyDescent="0.3">
      <c r="A11" s="21"/>
      <c r="B11" s="22" t="s">
        <v>34</v>
      </c>
      <c r="C11" s="22">
        <v>6.94</v>
      </c>
      <c r="D11" s="22">
        <v>3.16</v>
      </c>
      <c r="E11" s="22">
        <f t="shared" si="0"/>
        <v>3.7800000000000002</v>
      </c>
      <c r="F11" s="22" t="s">
        <v>20</v>
      </c>
      <c r="G11" s="22" t="s">
        <v>35</v>
      </c>
      <c r="H11" s="23">
        <v>1350</v>
      </c>
      <c r="I11" s="23">
        <f t="shared" si="1"/>
        <v>5103</v>
      </c>
      <c r="J11" s="23">
        <v>0</v>
      </c>
      <c r="K11" s="23">
        <f t="shared" si="4"/>
        <v>5103</v>
      </c>
      <c r="L11" s="23">
        <v>3</v>
      </c>
      <c r="M11" s="23">
        <f t="shared" si="3"/>
        <v>5100</v>
      </c>
      <c r="N11" s="24" t="s">
        <v>18</v>
      </c>
    </row>
    <row r="12" spans="1:14" x14ac:dyDescent="0.3">
      <c r="A12" s="21"/>
      <c r="B12" s="22" t="s">
        <v>19</v>
      </c>
      <c r="C12" s="22">
        <v>27.71</v>
      </c>
      <c r="D12" s="22">
        <v>9.76</v>
      </c>
      <c r="E12" s="22">
        <f t="shared" si="0"/>
        <v>17.950000000000003</v>
      </c>
      <c r="F12" s="22" t="s">
        <v>20</v>
      </c>
      <c r="G12" s="22" t="s">
        <v>28</v>
      </c>
      <c r="H12" s="23">
        <v>1350</v>
      </c>
      <c r="I12" s="23">
        <f t="shared" si="1"/>
        <v>24232.500000000004</v>
      </c>
      <c r="J12" s="23">
        <v>0</v>
      </c>
      <c r="K12" s="23">
        <f t="shared" si="4"/>
        <v>24232.500000000004</v>
      </c>
      <c r="L12" s="23">
        <v>0</v>
      </c>
      <c r="M12" s="23">
        <f t="shared" si="3"/>
        <v>24232.500000000004</v>
      </c>
      <c r="N12" s="24" t="s">
        <v>29</v>
      </c>
    </row>
    <row r="13" spans="1:14" ht="15" thickBot="1" x14ac:dyDescent="0.35">
      <c r="A13" s="15"/>
      <c r="B13" s="16" t="s">
        <v>36</v>
      </c>
      <c r="C13" s="16">
        <v>29.71</v>
      </c>
      <c r="D13" s="16">
        <v>9.68</v>
      </c>
      <c r="E13" s="16">
        <f t="shared" si="0"/>
        <v>20.03</v>
      </c>
      <c r="F13" s="16" t="s">
        <v>20</v>
      </c>
      <c r="G13" s="16" t="s">
        <v>37</v>
      </c>
      <c r="H13" s="17">
        <v>1600</v>
      </c>
      <c r="I13" s="17">
        <f t="shared" si="1"/>
        <v>32048</v>
      </c>
      <c r="J13" s="17">
        <v>0</v>
      </c>
      <c r="K13" s="17">
        <f t="shared" si="4"/>
        <v>32048</v>
      </c>
      <c r="L13" s="17">
        <v>0</v>
      </c>
      <c r="M13" s="17">
        <f t="shared" si="3"/>
        <v>32048</v>
      </c>
      <c r="N13" s="18" t="s">
        <v>38</v>
      </c>
    </row>
    <row r="14" spans="1:14" ht="15" thickBot="1" x14ac:dyDescent="0.35">
      <c r="A14" s="25">
        <v>45758</v>
      </c>
      <c r="B14" s="26" t="s">
        <v>19</v>
      </c>
      <c r="C14" s="26">
        <v>31.62</v>
      </c>
      <c r="D14" s="26">
        <v>9.76</v>
      </c>
      <c r="E14" s="26">
        <f t="shared" si="0"/>
        <v>21.86</v>
      </c>
      <c r="F14" s="26" t="s">
        <v>20</v>
      </c>
      <c r="G14" s="26" t="s">
        <v>39</v>
      </c>
      <c r="H14" s="27">
        <v>1350</v>
      </c>
      <c r="I14" s="27">
        <f t="shared" si="1"/>
        <v>29511</v>
      </c>
      <c r="J14" s="27">
        <v>500</v>
      </c>
      <c r="K14" s="27">
        <f t="shared" si="4"/>
        <v>30011</v>
      </c>
      <c r="L14" s="27">
        <v>11</v>
      </c>
      <c r="M14" s="27">
        <f t="shared" si="3"/>
        <v>30000</v>
      </c>
      <c r="N14" s="28" t="s">
        <v>18</v>
      </c>
    </row>
    <row r="15" spans="1:14" x14ac:dyDescent="0.3">
      <c r="A15" s="20">
        <v>45759</v>
      </c>
      <c r="B15" s="12" t="s">
        <v>36</v>
      </c>
      <c r="C15" s="12">
        <v>28.7</v>
      </c>
      <c r="D15" s="12">
        <v>9.6999999999999993</v>
      </c>
      <c r="E15" s="12">
        <f t="shared" si="0"/>
        <v>19</v>
      </c>
      <c r="F15" s="12" t="s">
        <v>40</v>
      </c>
      <c r="G15" s="12" t="s">
        <v>41</v>
      </c>
      <c r="H15" s="13">
        <v>1200</v>
      </c>
      <c r="I15" s="13">
        <f t="shared" si="1"/>
        <v>22800</v>
      </c>
      <c r="J15" s="13">
        <v>3500</v>
      </c>
      <c r="K15" s="13">
        <f t="shared" si="4"/>
        <v>26300</v>
      </c>
      <c r="L15" s="13">
        <v>0</v>
      </c>
      <c r="M15" s="13">
        <f t="shared" si="3"/>
        <v>26300</v>
      </c>
      <c r="N15" s="14" t="s">
        <v>22</v>
      </c>
    </row>
    <row r="16" spans="1:14" x14ac:dyDescent="0.3">
      <c r="A16" s="21"/>
      <c r="B16" s="22" t="s">
        <v>36</v>
      </c>
      <c r="C16" s="22">
        <v>23.61</v>
      </c>
      <c r="D16" s="22">
        <v>9.69</v>
      </c>
      <c r="E16" s="22">
        <f t="shared" si="0"/>
        <v>13.92</v>
      </c>
      <c r="F16" s="22" t="s">
        <v>20</v>
      </c>
      <c r="G16" s="22" t="s">
        <v>41</v>
      </c>
      <c r="H16" s="23">
        <v>1350</v>
      </c>
      <c r="I16" s="23">
        <f t="shared" si="1"/>
        <v>18792</v>
      </c>
      <c r="J16" s="23">
        <v>3500</v>
      </c>
      <c r="K16" s="23">
        <f t="shared" si="4"/>
        <v>22292</v>
      </c>
      <c r="L16" s="23">
        <v>0</v>
      </c>
      <c r="M16" s="23">
        <f t="shared" si="3"/>
        <v>22292</v>
      </c>
      <c r="N16" s="24" t="s">
        <v>22</v>
      </c>
    </row>
    <row r="17" spans="1:14" ht="15" thickBot="1" x14ac:dyDescent="0.35">
      <c r="A17" s="15"/>
      <c r="B17" s="16" t="s">
        <v>42</v>
      </c>
      <c r="C17" s="16">
        <v>28.59</v>
      </c>
      <c r="D17" s="16">
        <v>9.9700000000000006</v>
      </c>
      <c r="E17" s="16">
        <f t="shared" si="0"/>
        <v>18.619999999999997</v>
      </c>
      <c r="F17" s="16" t="s">
        <v>43</v>
      </c>
      <c r="G17" s="16" t="s">
        <v>44</v>
      </c>
      <c r="H17" s="17">
        <v>1225</v>
      </c>
      <c r="I17" s="17">
        <f t="shared" si="1"/>
        <v>22809.499999999996</v>
      </c>
      <c r="J17" s="17">
        <v>0</v>
      </c>
      <c r="K17" s="17">
        <f t="shared" si="4"/>
        <v>22809.499999999996</v>
      </c>
      <c r="L17" s="17">
        <v>0</v>
      </c>
      <c r="M17" s="17">
        <f t="shared" si="3"/>
        <v>22809.499999999996</v>
      </c>
      <c r="N17" s="18" t="s">
        <v>38</v>
      </c>
    </row>
    <row r="18" spans="1:14" x14ac:dyDescent="0.3">
      <c r="A18" s="11">
        <v>45760</v>
      </c>
      <c r="B18" s="12" t="s">
        <v>45</v>
      </c>
      <c r="C18" s="12">
        <v>28.03</v>
      </c>
      <c r="D18" s="12">
        <v>9.6300000000000008</v>
      </c>
      <c r="E18" s="12">
        <f t="shared" si="0"/>
        <v>18.399999999999999</v>
      </c>
      <c r="F18" s="12" t="s">
        <v>40</v>
      </c>
      <c r="G18" s="12" t="s">
        <v>46</v>
      </c>
      <c r="H18" s="13">
        <v>1125</v>
      </c>
      <c r="I18" s="13">
        <f t="shared" si="1"/>
        <v>20700</v>
      </c>
      <c r="J18" s="13">
        <v>0</v>
      </c>
      <c r="K18" s="13">
        <f t="shared" si="4"/>
        <v>20700</v>
      </c>
      <c r="L18" s="13">
        <v>0</v>
      </c>
      <c r="M18" s="13">
        <f t="shared" si="3"/>
        <v>20700</v>
      </c>
      <c r="N18" s="14" t="s">
        <v>38</v>
      </c>
    </row>
    <row r="19" spans="1:14" ht="15" thickBot="1" x14ac:dyDescent="0.35">
      <c r="A19" s="15"/>
      <c r="B19" s="29" t="s">
        <v>45</v>
      </c>
      <c r="C19" s="16">
        <v>27.94</v>
      </c>
      <c r="D19" s="16">
        <v>9.61</v>
      </c>
      <c r="E19" s="16">
        <f t="shared" si="0"/>
        <v>18.330000000000002</v>
      </c>
      <c r="F19" s="16" t="s">
        <v>40</v>
      </c>
      <c r="G19" s="16" t="s">
        <v>46</v>
      </c>
      <c r="H19" s="17">
        <v>1125</v>
      </c>
      <c r="I19" s="17">
        <f t="shared" si="1"/>
        <v>20621.250000000004</v>
      </c>
      <c r="J19" s="17">
        <v>0</v>
      </c>
      <c r="K19" s="17">
        <f t="shared" si="4"/>
        <v>20621.250000000004</v>
      </c>
      <c r="L19" s="17">
        <v>0</v>
      </c>
      <c r="M19" s="17">
        <f t="shared" si="3"/>
        <v>20621.250000000004</v>
      </c>
      <c r="N19" s="18" t="s">
        <v>38</v>
      </c>
    </row>
    <row r="20" spans="1:14" x14ac:dyDescent="0.3">
      <c r="A20" s="11">
        <v>45762</v>
      </c>
      <c r="B20" s="12" t="s">
        <v>36</v>
      </c>
      <c r="C20" s="12">
        <v>29.25</v>
      </c>
      <c r="D20" s="12">
        <v>9.7100000000000009</v>
      </c>
      <c r="E20" s="12">
        <f t="shared" si="0"/>
        <v>19.54</v>
      </c>
      <c r="F20" s="12" t="s">
        <v>43</v>
      </c>
      <c r="G20" s="12" t="s">
        <v>44</v>
      </c>
      <c r="H20" s="13">
        <v>1225</v>
      </c>
      <c r="I20" s="13">
        <f t="shared" si="1"/>
        <v>23936.5</v>
      </c>
      <c r="J20" s="13">
        <v>0</v>
      </c>
      <c r="K20" s="13">
        <f t="shared" si="4"/>
        <v>23936.5</v>
      </c>
      <c r="L20" s="13">
        <v>0</v>
      </c>
      <c r="M20" s="13">
        <f t="shared" si="3"/>
        <v>23936.5</v>
      </c>
      <c r="N20" s="14" t="s">
        <v>38</v>
      </c>
    </row>
    <row r="21" spans="1:14" x14ac:dyDescent="0.3">
      <c r="A21" s="21"/>
      <c r="B21" s="22" t="s">
        <v>47</v>
      </c>
      <c r="C21" s="22">
        <v>28.73</v>
      </c>
      <c r="D21" s="22">
        <v>9.8800000000000008</v>
      </c>
      <c r="E21" s="22">
        <f t="shared" si="0"/>
        <v>18.850000000000001</v>
      </c>
      <c r="F21" s="22" t="s">
        <v>43</v>
      </c>
      <c r="G21" s="22" t="s">
        <v>44</v>
      </c>
      <c r="H21" s="23">
        <v>1225</v>
      </c>
      <c r="I21" s="23">
        <f t="shared" si="1"/>
        <v>23091.25</v>
      </c>
      <c r="J21" s="23">
        <v>0</v>
      </c>
      <c r="K21" s="23">
        <f t="shared" si="4"/>
        <v>23091.25</v>
      </c>
      <c r="L21" s="23">
        <v>0</v>
      </c>
      <c r="M21" s="23">
        <f t="shared" si="3"/>
        <v>23091.25</v>
      </c>
      <c r="N21" s="24" t="s">
        <v>38</v>
      </c>
    </row>
    <row r="22" spans="1:14" x14ac:dyDescent="0.3">
      <c r="A22" s="21"/>
      <c r="B22" s="22" t="s">
        <v>45</v>
      </c>
      <c r="C22" s="22">
        <v>27.34</v>
      </c>
      <c r="D22" s="22">
        <v>9.57</v>
      </c>
      <c r="E22" s="22">
        <f t="shared" si="0"/>
        <v>17.77</v>
      </c>
      <c r="F22" s="22" t="s">
        <v>20</v>
      </c>
      <c r="G22" s="22" t="s">
        <v>48</v>
      </c>
      <c r="H22" s="23">
        <v>1350</v>
      </c>
      <c r="I22" s="23">
        <f t="shared" si="1"/>
        <v>23989.5</v>
      </c>
      <c r="J22" s="23">
        <v>3500</v>
      </c>
      <c r="K22" s="23">
        <f t="shared" si="4"/>
        <v>27489.5</v>
      </c>
      <c r="L22" s="23">
        <v>0</v>
      </c>
      <c r="M22" s="23">
        <f t="shared" si="3"/>
        <v>27489.5</v>
      </c>
      <c r="N22" s="24" t="s">
        <v>18</v>
      </c>
    </row>
    <row r="23" spans="1:14" x14ac:dyDescent="0.3">
      <c r="A23" s="21"/>
      <c r="B23" s="22" t="s">
        <v>36</v>
      </c>
      <c r="C23" s="22">
        <v>28.44</v>
      </c>
      <c r="D23" s="22">
        <v>9.73</v>
      </c>
      <c r="E23" s="22">
        <f t="shared" si="0"/>
        <v>18.71</v>
      </c>
      <c r="F23" s="22" t="s">
        <v>20</v>
      </c>
      <c r="G23" s="22" t="s">
        <v>49</v>
      </c>
      <c r="H23" s="23">
        <v>1350</v>
      </c>
      <c r="I23" s="23">
        <f t="shared" si="1"/>
        <v>25258.5</v>
      </c>
      <c r="J23" s="23">
        <v>2500</v>
      </c>
      <c r="K23" s="23">
        <f t="shared" si="4"/>
        <v>27758.5</v>
      </c>
      <c r="L23" s="23">
        <v>58.5</v>
      </c>
      <c r="M23" s="23">
        <f t="shared" si="3"/>
        <v>27700</v>
      </c>
      <c r="N23" s="24" t="s">
        <v>18</v>
      </c>
    </row>
    <row r="24" spans="1:14" x14ac:dyDescent="0.3">
      <c r="A24" s="21"/>
      <c r="B24" s="22" t="s">
        <v>47</v>
      </c>
      <c r="C24" s="22">
        <v>28.49</v>
      </c>
      <c r="D24" s="22">
        <v>9.83</v>
      </c>
      <c r="E24" s="22">
        <f t="shared" si="0"/>
        <v>18.659999999999997</v>
      </c>
      <c r="F24" s="22" t="s">
        <v>32</v>
      </c>
      <c r="G24" s="22" t="s">
        <v>28</v>
      </c>
      <c r="H24" s="23">
        <v>500</v>
      </c>
      <c r="I24" s="23">
        <f t="shared" si="1"/>
        <v>9329.9999999999982</v>
      </c>
      <c r="J24" s="23">
        <v>0</v>
      </c>
      <c r="K24" s="23">
        <f t="shared" si="4"/>
        <v>9329.9999999999982</v>
      </c>
      <c r="L24" s="23">
        <v>0</v>
      </c>
      <c r="M24" s="23">
        <f t="shared" si="3"/>
        <v>9329.9999999999982</v>
      </c>
      <c r="N24" s="24" t="s">
        <v>29</v>
      </c>
    </row>
    <row r="25" spans="1:14" x14ac:dyDescent="0.3">
      <c r="A25" s="21"/>
      <c r="B25" s="22" t="s">
        <v>45</v>
      </c>
      <c r="C25" s="22">
        <v>28.3</v>
      </c>
      <c r="D25" s="22">
        <v>9.57</v>
      </c>
      <c r="E25" s="22">
        <f t="shared" si="0"/>
        <v>18.73</v>
      </c>
      <c r="F25" s="22" t="s">
        <v>32</v>
      </c>
      <c r="G25" s="22" t="s">
        <v>28</v>
      </c>
      <c r="H25" s="23">
        <v>500</v>
      </c>
      <c r="I25" s="23">
        <f t="shared" si="1"/>
        <v>9365</v>
      </c>
      <c r="J25" s="23">
        <v>0</v>
      </c>
      <c r="K25" s="23">
        <f t="shared" si="4"/>
        <v>9365</v>
      </c>
      <c r="L25" s="23">
        <v>0</v>
      </c>
      <c r="M25" s="23">
        <f t="shared" si="3"/>
        <v>9365</v>
      </c>
      <c r="N25" s="24" t="s">
        <v>29</v>
      </c>
    </row>
    <row r="26" spans="1:14" ht="15" thickBot="1" x14ac:dyDescent="0.35">
      <c r="A26" s="15"/>
      <c r="B26" s="16" t="s">
        <v>36</v>
      </c>
      <c r="C26" s="16">
        <v>30.42</v>
      </c>
      <c r="D26" s="16">
        <v>9.69</v>
      </c>
      <c r="E26" s="16">
        <f t="shared" si="0"/>
        <v>20.730000000000004</v>
      </c>
      <c r="F26" s="16" t="s">
        <v>20</v>
      </c>
      <c r="G26" s="16" t="s">
        <v>50</v>
      </c>
      <c r="H26" s="17">
        <v>1350</v>
      </c>
      <c r="I26" s="17">
        <f t="shared" si="1"/>
        <v>27985.500000000004</v>
      </c>
      <c r="J26" s="17">
        <v>2000</v>
      </c>
      <c r="K26" s="17">
        <f t="shared" si="4"/>
        <v>29985.500000000004</v>
      </c>
      <c r="L26" s="17">
        <v>5.5</v>
      </c>
      <c r="M26" s="17">
        <f t="shared" si="3"/>
        <v>29980.000000000004</v>
      </c>
      <c r="N26" s="18" t="s">
        <v>18</v>
      </c>
    </row>
    <row r="27" spans="1:14" x14ac:dyDescent="0.3">
      <c r="A27" s="11">
        <v>45763</v>
      </c>
      <c r="B27" s="12" t="s">
        <v>36</v>
      </c>
      <c r="C27" s="12">
        <v>28.54</v>
      </c>
      <c r="D27" s="12">
        <v>9.7200000000000006</v>
      </c>
      <c r="E27" s="12">
        <f t="shared" si="0"/>
        <v>18.82</v>
      </c>
      <c r="F27" s="12" t="s">
        <v>20</v>
      </c>
      <c r="G27" s="12" t="s">
        <v>49</v>
      </c>
      <c r="H27" s="13">
        <v>1350</v>
      </c>
      <c r="I27" s="13">
        <f t="shared" si="1"/>
        <v>25407</v>
      </c>
      <c r="J27" s="13">
        <v>2000</v>
      </c>
      <c r="K27" s="13">
        <f t="shared" si="4"/>
        <v>27407</v>
      </c>
      <c r="L27" s="13">
        <v>7</v>
      </c>
      <c r="M27" s="13">
        <f t="shared" si="3"/>
        <v>27400</v>
      </c>
      <c r="N27" s="14" t="s">
        <v>18</v>
      </c>
    </row>
    <row r="28" spans="1:14" x14ac:dyDescent="0.3">
      <c r="A28" s="21"/>
      <c r="B28" s="22" t="s">
        <v>47</v>
      </c>
      <c r="C28" s="22">
        <v>27.83</v>
      </c>
      <c r="D28" s="22">
        <v>9.83</v>
      </c>
      <c r="E28" s="22">
        <f t="shared" si="0"/>
        <v>18</v>
      </c>
      <c r="F28" s="22" t="s">
        <v>43</v>
      </c>
      <c r="G28" s="22" t="s">
        <v>44</v>
      </c>
      <c r="H28" s="23">
        <v>1225</v>
      </c>
      <c r="I28" s="23">
        <f t="shared" si="1"/>
        <v>22050</v>
      </c>
      <c r="J28" s="23">
        <v>0</v>
      </c>
      <c r="K28" s="30">
        <f t="shared" si="4"/>
        <v>22050</v>
      </c>
      <c r="L28" s="23">
        <v>0</v>
      </c>
      <c r="M28" s="23">
        <f t="shared" si="3"/>
        <v>22050</v>
      </c>
      <c r="N28" s="24" t="s">
        <v>38</v>
      </c>
    </row>
    <row r="29" spans="1:14" ht="15" thickBot="1" x14ac:dyDescent="0.35">
      <c r="A29" s="15"/>
      <c r="B29" s="16" t="s">
        <v>19</v>
      </c>
      <c r="C29" s="16">
        <v>29.4</v>
      </c>
      <c r="D29" s="16">
        <v>9.8000000000000007</v>
      </c>
      <c r="E29" s="16">
        <f t="shared" si="0"/>
        <v>19.599999999999998</v>
      </c>
      <c r="F29" s="16" t="s">
        <v>20</v>
      </c>
      <c r="G29" s="16" t="s">
        <v>28</v>
      </c>
      <c r="H29" s="17">
        <v>1300</v>
      </c>
      <c r="I29" s="17">
        <f t="shared" si="1"/>
        <v>25479.999999999996</v>
      </c>
      <c r="J29" s="17">
        <v>0</v>
      </c>
      <c r="K29" s="31">
        <f t="shared" si="4"/>
        <v>25479.999999999996</v>
      </c>
      <c r="L29" s="17">
        <v>0</v>
      </c>
      <c r="M29" s="17">
        <f t="shared" si="3"/>
        <v>25479.999999999996</v>
      </c>
      <c r="N29" s="18" t="s">
        <v>29</v>
      </c>
    </row>
    <row r="30" spans="1:14" x14ac:dyDescent="0.3">
      <c r="A30" s="11">
        <v>45764</v>
      </c>
      <c r="B30" s="12" t="s">
        <v>36</v>
      </c>
      <c r="C30" s="12">
        <v>28.97</v>
      </c>
      <c r="D30" s="12">
        <v>9.75</v>
      </c>
      <c r="E30" s="12">
        <f t="shared" si="0"/>
        <v>19.22</v>
      </c>
      <c r="F30" s="12" t="s">
        <v>20</v>
      </c>
      <c r="G30" s="12" t="s">
        <v>41</v>
      </c>
      <c r="H30" s="13">
        <v>1350</v>
      </c>
      <c r="I30" s="13">
        <f t="shared" si="1"/>
        <v>25947</v>
      </c>
      <c r="J30" s="13">
        <v>3500</v>
      </c>
      <c r="K30" s="13">
        <f t="shared" si="4"/>
        <v>29447</v>
      </c>
      <c r="L30" s="13">
        <v>0</v>
      </c>
      <c r="M30" s="13">
        <v>30000</v>
      </c>
      <c r="N30" s="14" t="s">
        <v>29</v>
      </c>
    </row>
    <row r="31" spans="1:14" x14ac:dyDescent="0.3">
      <c r="A31" s="21"/>
      <c r="B31" s="22" t="s">
        <v>47</v>
      </c>
      <c r="C31" s="22">
        <v>27.99</v>
      </c>
      <c r="D31" s="22">
        <v>9.84</v>
      </c>
      <c r="E31" s="22">
        <f t="shared" si="0"/>
        <v>18.149999999999999</v>
      </c>
      <c r="F31" s="22" t="s">
        <v>16</v>
      </c>
      <c r="G31" s="22" t="s">
        <v>28</v>
      </c>
      <c r="H31" s="23">
        <v>1100</v>
      </c>
      <c r="I31" s="23">
        <f t="shared" si="1"/>
        <v>19965</v>
      </c>
      <c r="J31" s="23">
        <v>0</v>
      </c>
      <c r="K31" s="23">
        <f t="shared" si="4"/>
        <v>19965</v>
      </c>
      <c r="L31" s="23">
        <v>0</v>
      </c>
      <c r="M31" s="23">
        <f t="shared" ref="M31:M83" si="5">K31-L31</f>
        <v>19965</v>
      </c>
      <c r="N31" s="24" t="s">
        <v>29</v>
      </c>
    </row>
    <row r="32" spans="1:14" x14ac:dyDescent="0.3">
      <c r="A32" s="21"/>
      <c r="B32" s="22" t="s">
        <v>42</v>
      </c>
      <c r="C32" s="22">
        <v>27.37</v>
      </c>
      <c r="D32" s="22">
        <v>9.67</v>
      </c>
      <c r="E32" s="22">
        <f t="shared" si="0"/>
        <v>17.700000000000003</v>
      </c>
      <c r="F32" s="22" t="s">
        <v>20</v>
      </c>
      <c r="G32" s="22" t="s">
        <v>28</v>
      </c>
      <c r="H32" s="23">
        <v>1300</v>
      </c>
      <c r="I32" s="23">
        <f t="shared" si="1"/>
        <v>23010.000000000004</v>
      </c>
      <c r="J32" s="23">
        <v>0</v>
      </c>
      <c r="K32" s="23">
        <f t="shared" si="4"/>
        <v>23010.000000000004</v>
      </c>
      <c r="L32" s="23">
        <v>0</v>
      </c>
      <c r="M32" s="23">
        <f t="shared" si="5"/>
        <v>23010.000000000004</v>
      </c>
      <c r="N32" s="24" t="s">
        <v>29</v>
      </c>
    </row>
    <row r="33" spans="1:14" x14ac:dyDescent="0.3">
      <c r="A33" s="21"/>
      <c r="B33" s="32" t="s">
        <v>51</v>
      </c>
      <c r="C33" s="22">
        <v>21.89</v>
      </c>
      <c r="D33" s="22">
        <v>15.25</v>
      </c>
      <c r="E33" s="22">
        <f t="shared" si="0"/>
        <v>6.6400000000000006</v>
      </c>
      <c r="F33" s="22" t="s">
        <v>20</v>
      </c>
      <c r="G33" s="22" t="s">
        <v>52</v>
      </c>
      <c r="H33" s="23">
        <v>1350</v>
      </c>
      <c r="I33" s="23">
        <f t="shared" si="1"/>
        <v>8964</v>
      </c>
      <c r="J33" s="23">
        <v>0</v>
      </c>
      <c r="K33" s="23">
        <f t="shared" si="4"/>
        <v>8964</v>
      </c>
      <c r="L33" s="23">
        <v>4</v>
      </c>
      <c r="M33" s="23">
        <f t="shared" si="5"/>
        <v>8960</v>
      </c>
      <c r="N33" s="24" t="s">
        <v>18</v>
      </c>
    </row>
    <row r="34" spans="1:14" x14ac:dyDescent="0.3">
      <c r="A34" s="21"/>
      <c r="B34" s="32" t="s">
        <v>42</v>
      </c>
      <c r="C34" s="22">
        <v>27.55</v>
      </c>
      <c r="D34" s="22">
        <v>9.65</v>
      </c>
      <c r="E34" s="22">
        <f t="shared" si="0"/>
        <v>17.899999999999999</v>
      </c>
      <c r="F34" s="22" t="s">
        <v>43</v>
      </c>
      <c r="G34" s="22" t="s">
        <v>53</v>
      </c>
      <c r="H34" s="23">
        <v>1365</v>
      </c>
      <c r="I34" s="23">
        <f t="shared" si="1"/>
        <v>24433.499999999996</v>
      </c>
      <c r="J34" s="23">
        <v>0</v>
      </c>
      <c r="K34" s="23">
        <f t="shared" si="4"/>
        <v>24433.499999999996</v>
      </c>
      <c r="L34" s="23">
        <v>0</v>
      </c>
      <c r="M34" s="23">
        <f t="shared" si="5"/>
        <v>24433.499999999996</v>
      </c>
      <c r="N34" s="24" t="s">
        <v>38</v>
      </c>
    </row>
    <row r="35" spans="1:14" x14ac:dyDescent="0.3">
      <c r="A35" s="21"/>
      <c r="B35" s="32" t="s">
        <v>54</v>
      </c>
      <c r="C35" s="22">
        <v>27.9</v>
      </c>
      <c r="D35" s="22">
        <v>9.74</v>
      </c>
      <c r="E35" s="22">
        <f t="shared" si="0"/>
        <v>18.159999999999997</v>
      </c>
      <c r="F35" s="22" t="s">
        <v>43</v>
      </c>
      <c r="G35" s="22" t="s">
        <v>53</v>
      </c>
      <c r="H35" s="23">
        <v>1365</v>
      </c>
      <c r="I35" s="23">
        <f t="shared" si="1"/>
        <v>24788.399999999994</v>
      </c>
      <c r="J35" s="23">
        <v>0</v>
      </c>
      <c r="K35" s="23">
        <f t="shared" si="4"/>
        <v>24788.399999999994</v>
      </c>
      <c r="L35" s="23">
        <v>0</v>
      </c>
      <c r="M35" s="23">
        <f t="shared" si="5"/>
        <v>24788.399999999994</v>
      </c>
      <c r="N35" s="24" t="s">
        <v>38</v>
      </c>
    </row>
    <row r="36" spans="1:14" x14ac:dyDescent="0.3">
      <c r="A36" s="21"/>
      <c r="B36" s="32" t="s">
        <v>36</v>
      </c>
      <c r="C36" s="22">
        <v>28.4</v>
      </c>
      <c r="D36" s="22">
        <v>9.76</v>
      </c>
      <c r="E36" s="22">
        <f t="shared" si="0"/>
        <v>18.64</v>
      </c>
      <c r="F36" s="22" t="s">
        <v>43</v>
      </c>
      <c r="G36" s="22" t="s">
        <v>53</v>
      </c>
      <c r="H36" s="23">
        <v>1365</v>
      </c>
      <c r="I36" s="23">
        <f t="shared" si="1"/>
        <v>25443.600000000002</v>
      </c>
      <c r="J36" s="23">
        <v>0</v>
      </c>
      <c r="K36" s="23">
        <f t="shared" si="4"/>
        <v>25443.600000000002</v>
      </c>
      <c r="L36" s="23">
        <v>0</v>
      </c>
      <c r="M36" s="23">
        <f t="shared" si="5"/>
        <v>25443.600000000002</v>
      </c>
      <c r="N36" s="24" t="s">
        <v>38</v>
      </c>
    </row>
    <row r="37" spans="1:14" ht="15" thickBot="1" x14ac:dyDescent="0.35">
      <c r="A37" s="15"/>
      <c r="B37" s="33" t="s">
        <v>15</v>
      </c>
      <c r="C37" s="16">
        <v>6.89</v>
      </c>
      <c r="D37" s="16">
        <v>2.89</v>
      </c>
      <c r="E37" s="16">
        <f t="shared" si="0"/>
        <v>3.9999999999999996</v>
      </c>
      <c r="F37" s="16" t="s">
        <v>20</v>
      </c>
      <c r="G37" s="16" t="s">
        <v>55</v>
      </c>
      <c r="H37" s="17">
        <v>1350</v>
      </c>
      <c r="I37" s="17">
        <f t="shared" si="1"/>
        <v>5399.9999999999991</v>
      </c>
      <c r="J37" s="17">
        <v>0</v>
      </c>
      <c r="K37" s="17">
        <f t="shared" si="4"/>
        <v>5399.9999999999991</v>
      </c>
      <c r="L37" s="17">
        <v>0</v>
      </c>
      <c r="M37" s="17">
        <f t="shared" si="5"/>
        <v>5399.9999999999991</v>
      </c>
      <c r="N37" s="18" t="s">
        <v>18</v>
      </c>
    </row>
    <row r="38" spans="1:14" x14ac:dyDescent="0.3">
      <c r="A38" s="11">
        <v>45765</v>
      </c>
      <c r="B38" s="12" t="s">
        <v>36</v>
      </c>
      <c r="C38" s="12">
        <v>28.73</v>
      </c>
      <c r="D38" s="12">
        <v>9.7799999999999994</v>
      </c>
      <c r="E38" s="12">
        <f t="shared" si="0"/>
        <v>18.950000000000003</v>
      </c>
      <c r="F38" s="12" t="s">
        <v>43</v>
      </c>
      <c r="G38" s="12" t="s">
        <v>53</v>
      </c>
      <c r="H38" s="13">
        <v>1365</v>
      </c>
      <c r="I38" s="13">
        <f t="shared" si="1"/>
        <v>25866.750000000004</v>
      </c>
      <c r="J38" s="13">
        <v>0</v>
      </c>
      <c r="K38" s="13">
        <f t="shared" si="4"/>
        <v>25866.750000000004</v>
      </c>
      <c r="L38" s="13">
        <v>0</v>
      </c>
      <c r="M38" s="13">
        <f t="shared" si="5"/>
        <v>25866.750000000004</v>
      </c>
      <c r="N38" s="14" t="s">
        <v>38</v>
      </c>
    </row>
    <row r="39" spans="1:14" x14ac:dyDescent="0.3">
      <c r="A39" s="21"/>
      <c r="B39" s="22" t="s">
        <v>47</v>
      </c>
      <c r="C39" s="22">
        <v>28.03</v>
      </c>
      <c r="D39" s="22">
        <v>9.83</v>
      </c>
      <c r="E39" s="22">
        <f t="shared" si="0"/>
        <v>18.200000000000003</v>
      </c>
      <c r="F39" s="22" t="s">
        <v>43</v>
      </c>
      <c r="G39" s="22" t="s">
        <v>53</v>
      </c>
      <c r="H39" s="23">
        <v>1365</v>
      </c>
      <c r="I39" s="23">
        <f t="shared" si="1"/>
        <v>24843.000000000004</v>
      </c>
      <c r="J39" s="23">
        <v>0</v>
      </c>
      <c r="K39" s="23">
        <f t="shared" si="4"/>
        <v>24843.000000000004</v>
      </c>
      <c r="L39" s="23">
        <v>0</v>
      </c>
      <c r="M39" s="23">
        <f t="shared" si="5"/>
        <v>24843.000000000004</v>
      </c>
      <c r="N39" s="24" t="s">
        <v>38</v>
      </c>
    </row>
    <row r="40" spans="1:14" x14ac:dyDescent="0.3">
      <c r="A40" s="21"/>
      <c r="B40" s="22" t="s">
        <v>56</v>
      </c>
      <c r="C40" s="22">
        <v>14.56</v>
      </c>
      <c r="D40" s="22">
        <v>9.5500000000000007</v>
      </c>
      <c r="E40" s="22">
        <f t="shared" si="0"/>
        <v>5.01</v>
      </c>
      <c r="F40" s="22" t="s">
        <v>16</v>
      </c>
      <c r="G40" s="22" t="s">
        <v>57</v>
      </c>
      <c r="H40" s="23">
        <v>1200</v>
      </c>
      <c r="I40" s="23">
        <f t="shared" si="1"/>
        <v>6012</v>
      </c>
      <c r="J40" s="23">
        <v>0</v>
      </c>
      <c r="K40" s="23">
        <f t="shared" si="4"/>
        <v>6012</v>
      </c>
      <c r="L40" s="23">
        <v>12</v>
      </c>
      <c r="M40" s="23">
        <f t="shared" si="5"/>
        <v>6000</v>
      </c>
      <c r="N40" s="24" t="s">
        <v>18</v>
      </c>
    </row>
    <row r="41" spans="1:14" x14ac:dyDescent="0.3">
      <c r="A41" s="21"/>
      <c r="B41" s="22" t="s">
        <v>15</v>
      </c>
      <c r="C41" s="22">
        <v>6.62</v>
      </c>
      <c r="D41" s="22">
        <v>2.88</v>
      </c>
      <c r="E41" s="22">
        <f t="shared" si="0"/>
        <v>3.74</v>
      </c>
      <c r="F41" s="22" t="s">
        <v>20</v>
      </c>
      <c r="G41" s="22" t="s">
        <v>58</v>
      </c>
      <c r="H41" s="23">
        <v>1350</v>
      </c>
      <c r="I41" s="23">
        <f t="shared" si="1"/>
        <v>5049</v>
      </c>
      <c r="J41" s="23">
        <v>0</v>
      </c>
      <c r="K41" s="23">
        <f t="shared" si="4"/>
        <v>5049</v>
      </c>
      <c r="L41" s="23">
        <v>49</v>
      </c>
      <c r="M41" s="23">
        <f t="shared" si="5"/>
        <v>5000</v>
      </c>
      <c r="N41" s="24" t="s">
        <v>18</v>
      </c>
    </row>
    <row r="42" spans="1:14" x14ac:dyDescent="0.3">
      <c r="A42" s="21"/>
      <c r="B42" s="22" t="s">
        <v>36</v>
      </c>
      <c r="C42" s="22">
        <v>33.44</v>
      </c>
      <c r="D42" s="22">
        <v>9.7899999999999991</v>
      </c>
      <c r="E42" s="22">
        <f t="shared" si="0"/>
        <v>23.65</v>
      </c>
      <c r="F42" s="22" t="s">
        <v>32</v>
      </c>
      <c r="G42" s="22" t="s">
        <v>28</v>
      </c>
      <c r="H42" s="23">
        <v>500</v>
      </c>
      <c r="I42" s="23">
        <f t="shared" si="1"/>
        <v>11825</v>
      </c>
      <c r="J42" s="23">
        <v>0</v>
      </c>
      <c r="K42" s="23">
        <f t="shared" si="4"/>
        <v>11825</v>
      </c>
      <c r="L42" s="23">
        <v>0</v>
      </c>
      <c r="M42" s="23">
        <f t="shared" si="5"/>
        <v>11825</v>
      </c>
      <c r="N42" s="24" t="s">
        <v>29</v>
      </c>
    </row>
    <row r="43" spans="1:14" x14ac:dyDescent="0.3">
      <c r="A43" s="21"/>
      <c r="B43" s="22" t="s">
        <v>45</v>
      </c>
      <c r="C43" s="22">
        <v>26.56</v>
      </c>
      <c r="D43" s="22">
        <v>9.56</v>
      </c>
      <c r="E43" s="22">
        <f t="shared" si="0"/>
        <v>17</v>
      </c>
      <c r="F43" s="22" t="s">
        <v>16</v>
      </c>
      <c r="G43" s="22" t="s">
        <v>28</v>
      </c>
      <c r="H43" s="23">
        <v>1100</v>
      </c>
      <c r="I43" s="23">
        <f t="shared" si="1"/>
        <v>18700</v>
      </c>
      <c r="J43" s="23">
        <v>0</v>
      </c>
      <c r="K43" s="23">
        <f t="shared" si="4"/>
        <v>18700</v>
      </c>
      <c r="L43" s="23">
        <v>0</v>
      </c>
      <c r="M43" s="23">
        <f t="shared" si="5"/>
        <v>18700</v>
      </c>
      <c r="N43" s="24" t="s">
        <v>29</v>
      </c>
    </row>
    <row r="44" spans="1:14" ht="15" thickBot="1" x14ac:dyDescent="0.35">
      <c r="A44" s="15"/>
      <c r="B44" s="16" t="s">
        <v>59</v>
      </c>
      <c r="C44" s="16">
        <v>4.24</v>
      </c>
      <c r="D44" s="16">
        <v>2.0499999999999998</v>
      </c>
      <c r="E44" s="16">
        <f t="shared" si="0"/>
        <v>2.1900000000000004</v>
      </c>
      <c r="F44" s="16" t="s">
        <v>20</v>
      </c>
      <c r="G44" s="16" t="s">
        <v>60</v>
      </c>
      <c r="H44" s="17">
        <v>1350</v>
      </c>
      <c r="I44" s="17">
        <f t="shared" si="1"/>
        <v>2956.5000000000005</v>
      </c>
      <c r="J44" s="17">
        <v>0</v>
      </c>
      <c r="K44" s="17">
        <f t="shared" si="4"/>
        <v>2956.5000000000005</v>
      </c>
      <c r="L44" s="17">
        <v>6.5</v>
      </c>
      <c r="M44" s="17">
        <f t="shared" si="5"/>
        <v>2950.0000000000005</v>
      </c>
      <c r="N44" s="18" t="s">
        <v>22</v>
      </c>
    </row>
    <row r="45" spans="1:14" x14ac:dyDescent="0.3">
      <c r="A45" s="11">
        <v>45766</v>
      </c>
      <c r="B45" s="12" t="s">
        <v>47</v>
      </c>
      <c r="C45" s="12">
        <v>27.96</v>
      </c>
      <c r="D45" s="12">
        <v>9.83</v>
      </c>
      <c r="E45" s="12">
        <f t="shared" si="0"/>
        <v>18.130000000000003</v>
      </c>
      <c r="F45" s="12" t="s">
        <v>20</v>
      </c>
      <c r="G45" s="12" t="s">
        <v>61</v>
      </c>
      <c r="H45" s="13">
        <v>1350</v>
      </c>
      <c r="I45" s="13">
        <f t="shared" si="1"/>
        <v>24475.500000000004</v>
      </c>
      <c r="J45" s="13">
        <v>2500</v>
      </c>
      <c r="K45" s="13">
        <f t="shared" si="4"/>
        <v>26975.500000000004</v>
      </c>
      <c r="L45" s="13">
        <v>75.5</v>
      </c>
      <c r="M45" s="13">
        <f t="shared" si="5"/>
        <v>26900.000000000004</v>
      </c>
      <c r="N45" s="14" t="s">
        <v>22</v>
      </c>
    </row>
    <row r="46" spans="1:14" x14ac:dyDescent="0.3">
      <c r="A46" s="21"/>
      <c r="B46" s="22" t="s">
        <v>19</v>
      </c>
      <c r="C46" s="22">
        <v>29.71</v>
      </c>
      <c r="D46" s="22">
        <v>9.83</v>
      </c>
      <c r="E46" s="22">
        <f t="shared" si="0"/>
        <v>19.880000000000003</v>
      </c>
      <c r="F46" s="22" t="s">
        <v>32</v>
      </c>
      <c r="G46" s="22" t="s">
        <v>62</v>
      </c>
      <c r="H46" s="23">
        <v>500</v>
      </c>
      <c r="I46" s="23">
        <f t="shared" si="1"/>
        <v>9940.0000000000018</v>
      </c>
      <c r="J46" s="23">
        <v>0</v>
      </c>
      <c r="K46" s="23">
        <f t="shared" si="4"/>
        <v>9940.0000000000018</v>
      </c>
      <c r="L46" s="23">
        <v>0</v>
      </c>
      <c r="M46" s="23">
        <f t="shared" si="5"/>
        <v>9940.0000000000018</v>
      </c>
      <c r="N46" s="24" t="s">
        <v>38</v>
      </c>
    </row>
    <row r="47" spans="1:14" x14ac:dyDescent="0.3">
      <c r="A47" s="21"/>
      <c r="B47" s="22" t="s">
        <v>36</v>
      </c>
      <c r="C47" s="22">
        <v>29.07</v>
      </c>
      <c r="D47" s="22">
        <v>9.77</v>
      </c>
      <c r="E47" s="22">
        <f t="shared" si="0"/>
        <v>19.3</v>
      </c>
      <c r="F47" s="22" t="s">
        <v>16</v>
      </c>
      <c r="G47" s="22" t="s">
        <v>62</v>
      </c>
      <c r="H47" s="23">
        <v>1100</v>
      </c>
      <c r="I47" s="23">
        <f t="shared" si="1"/>
        <v>21230</v>
      </c>
      <c r="J47" s="23">
        <v>0</v>
      </c>
      <c r="K47" s="23">
        <f t="shared" si="4"/>
        <v>21230</v>
      </c>
      <c r="L47" s="23">
        <v>0</v>
      </c>
      <c r="M47" s="23">
        <f t="shared" si="5"/>
        <v>21230</v>
      </c>
      <c r="N47" s="24" t="s">
        <v>38</v>
      </c>
    </row>
    <row r="48" spans="1:14" x14ac:dyDescent="0.3">
      <c r="A48" s="21"/>
      <c r="B48" s="22" t="s">
        <v>47</v>
      </c>
      <c r="C48" s="22">
        <v>30.22</v>
      </c>
      <c r="D48" s="22">
        <v>9.8000000000000007</v>
      </c>
      <c r="E48" s="22">
        <f t="shared" si="0"/>
        <v>20.419999999999998</v>
      </c>
      <c r="F48" s="22" t="s">
        <v>40</v>
      </c>
      <c r="G48" s="22" t="s">
        <v>62</v>
      </c>
      <c r="H48" s="23">
        <v>1100</v>
      </c>
      <c r="I48" s="23">
        <f t="shared" si="1"/>
        <v>22461.999999999996</v>
      </c>
      <c r="J48" s="23">
        <v>0</v>
      </c>
      <c r="K48" s="23">
        <f t="shared" si="4"/>
        <v>22461.999999999996</v>
      </c>
      <c r="L48" s="23">
        <v>0</v>
      </c>
      <c r="M48" s="23">
        <f t="shared" si="5"/>
        <v>22461.999999999996</v>
      </c>
      <c r="N48" s="24" t="s">
        <v>38</v>
      </c>
    </row>
    <row r="49" spans="1:14" ht="15" thickBot="1" x14ac:dyDescent="0.35">
      <c r="A49" s="15"/>
      <c r="B49" s="16" t="s">
        <v>45</v>
      </c>
      <c r="C49" s="16">
        <v>30.14</v>
      </c>
      <c r="D49" s="16">
        <v>9.56</v>
      </c>
      <c r="E49" s="16">
        <f t="shared" si="0"/>
        <v>20.58</v>
      </c>
      <c r="F49" s="16" t="s">
        <v>40</v>
      </c>
      <c r="G49" s="16" t="s">
        <v>62</v>
      </c>
      <c r="H49" s="17">
        <v>1100</v>
      </c>
      <c r="I49" s="17">
        <f t="shared" si="1"/>
        <v>22637.999999999996</v>
      </c>
      <c r="J49" s="17">
        <v>0</v>
      </c>
      <c r="K49" s="17">
        <f t="shared" si="4"/>
        <v>22637.999999999996</v>
      </c>
      <c r="L49" s="17">
        <v>0</v>
      </c>
      <c r="M49" s="17">
        <f t="shared" si="5"/>
        <v>22637.999999999996</v>
      </c>
      <c r="N49" s="18" t="s">
        <v>38</v>
      </c>
    </row>
    <row r="50" spans="1:14" x14ac:dyDescent="0.3">
      <c r="A50" s="11">
        <v>45767</v>
      </c>
      <c r="B50" s="12" t="s">
        <v>47</v>
      </c>
      <c r="C50" s="12">
        <v>27.15</v>
      </c>
      <c r="D50" s="12">
        <v>9.7799999999999994</v>
      </c>
      <c r="E50" s="12">
        <f t="shared" si="0"/>
        <v>17.369999999999997</v>
      </c>
      <c r="F50" s="12" t="s">
        <v>16</v>
      </c>
      <c r="G50" s="12" t="s">
        <v>62</v>
      </c>
      <c r="H50" s="13">
        <v>1100</v>
      </c>
      <c r="I50" s="13">
        <f t="shared" si="1"/>
        <v>19106.999999999996</v>
      </c>
      <c r="J50" s="13">
        <v>0</v>
      </c>
      <c r="K50" s="13">
        <f t="shared" si="4"/>
        <v>19106.999999999996</v>
      </c>
      <c r="L50" s="13">
        <v>0</v>
      </c>
      <c r="M50" s="13">
        <f t="shared" si="5"/>
        <v>19106.999999999996</v>
      </c>
      <c r="N50" s="14" t="s">
        <v>38</v>
      </c>
    </row>
    <row r="51" spans="1:14" x14ac:dyDescent="0.3">
      <c r="A51" s="21"/>
      <c r="B51" s="22" t="s">
        <v>54</v>
      </c>
      <c r="C51" s="22">
        <v>27.91</v>
      </c>
      <c r="D51" s="22">
        <v>9.75</v>
      </c>
      <c r="E51" s="22">
        <f t="shared" si="0"/>
        <v>18.16</v>
      </c>
      <c r="F51" s="22" t="s">
        <v>40</v>
      </c>
      <c r="G51" s="22" t="s">
        <v>62</v>
      </c>
      <c r="H51" s="23">
        <v>1100</v>
      </c>
      <c r="I51" s="23">
        <f t="shared" si="1"/>
        <v>19976</v>
      </c>
      <c r="J51" s="23">
        <v>0</v>
      </c>
      <c r="K51" s="23">
        <f t="shared" si="4"/>
        <v>19976</v>
      </c>
      <c r="L51" s="23">
        <v>0</v>
      </c>
      <c r="M51" s="23">
        <f t="shared" si="5"/>
        <v>19976</v>
      </c>
      <c r="N51" s="24" t="s">
        <v>38</v>
      </c>
    </row>
    <row r="52" spans="1:14" x14ac:dyDescent="0.3">
      <c r="A52" s="21"/>
      <c r="B52" s="22" t="s">
        <v>19</v>
      </c>
      <c r="C52" s="22">
        <v>29.12</v>
      </c>
      <c r="D52" s="22">
        <v>9.8000000000000007</v>
      </c>
      <c r="E52" s="22">
        <f t="shared" si="0"/>
        <v>19.32</v>
      </c>
      <c r="F52" s="22" t="s">
        <v>32</v>
      </c>
      <c r="G52" s="22" t="s">
        <v>62</v>
      </c>
      <c r="H52" s="23">
        <v>500</v>
      </c>
      <c r="I52" s="23">
        <f t="shared" si="1"/>
        <v>9660</v>
      </c>
      <c r="J52" s="23">
        <v>0</v>
      </c>
      <c r="K52" s="23">
        <f t="shared" si="4"/>
        <v>9660</v>
      </c>
      <c r="L52" s="23">
        <v>0</v>
      </c>
      <c r="M52" s="23">
        <f t="shared" si="5"/>
        <v>9660</v>
      </c>
      <c r="N52" s="24" t="s">
        <v>38</v>
      </c>
    </row>
    <row r="53" spans="1:14" x14ac:dyDescent="0.3">
      <c r="A53" s="21"/>
      <c r="B53" s="22" t="s">
        <v>25</v>
      </c>
      <c r="C53" s="22">
        <v>27.52</v>
      </c>
      <c r="D53" s="22">
        <v>9.75</v>
      </c>
      <c r="E53" s="22">
        <f t="shared" si="0"/>
        <v>17.77</v>
      </c>
      <c r="F53" s="22" t="s">
        <v>40</v>
      </c>
      <c r="G53" s="22" t="s">
        <v>62</v>
      </c>
      <c r="H53" s="23">
        <v>1100</v>
      </c>
      <c r="I53" s="23">
        <f t="shared" si="1"/>
        <v>19547</v>
      </c>
      <c r="J53" s="23">
        <v>0</v>
      </c>
      <c r="K53" s="23">
        <f t="shared" si="4"/>
        <v>19547</v>
      </c>
      <c r="L53" s="23">
        <v>0</v>
      </c>
      <c r="M53" s="23">
        <f t="shared" si="5"/>
        <v>19547</v>
      </c>
      <c r="N53" s="24" t="s">
        <v>38</v>
      </c>
    </row>
    <row r="54" spans="1:14" x14ac:dyDescent="0.3">
      <c r="A54" s="21"/>
      <c r="B54" s="22" t="s">
        <v>63</v>
      </c>
      <c r="C54" s="22">
        <v>28.23</v>
      </c>
      <c r="D54" s="22">
        <v>9.6300000000000008</v>
      </c>
      <c r="E54" s="22">
        <f t="shared" si="0"/>
        <v>18.600000000000001</v>
      </c>
      <c r="F54" s="22" t="s">
        <v>40</v>
      </c>
      <c r="G54" s="22" t="s">
        <v>62</v>
      </c>
      <c r="H54" s="23">
        <v>1100</v>
      </c>
      <c r="I54" s="23">
        <f t="shared" si="1"/>
        <v>20460</v>
      </c>
      <c r="J54" s="23">
        <v>0</v>
      </c>
      <c r="K54" s="23">
        <f t="shared" si="4"/>
        <v>20460</v>
      </c>
      <c r="L54" s="23">
        <v>0</v>
      </c>
      <c r="M54" s="23">
        <f t="shared" si="5"/>
        <v>20460</v>
      </c>
      <c r="N54" s="24" t="s">
        <v>38</v>
      </c>
    </row>
    <row r="55" spans="1:14" ht="15" thickBot="1" x14ac:dyDescent="0.35">
      <c r="A55" s="15"/>
      <c r="B55" s="16" t="s">
        <v>64</v>
      </c>
      <c r="C55" s="16">
        <v>33.97</v>
      </c>
      <c r="D55" s="16">
        <v>12.27</v>
      </c>
      <c r="E55" s="16">
        <f t="shared" si="0"/>
        <v>21.7</v>
      </c>
      <c r="F55" s="16" t="s">
        <v>32</v>
      </c>
      <c r="G55" s="16" t="s">
        <v>65</v>
      </c>
      <c r="H55" s="17">
        <v>500</v>
      </c>
      <c r="I55" s="17">
        <f t="shared" si="1"/>
        <v>10850</v>
      </c>
      <c r="J55" s="17">
        <v>0</v>
      </c>
      <c r="K55" s="17">
        <f t="shared" si="4"/>
        <v>10850</v>
      </c>
      <c r="L55" s="17">
        <v>0</v>
      </c>
      <c r="M55" s="17">
        <f t="shared" si="5"/>
        <v>10850</v>
      </c>
      <c r="N55" s="18" t="s">
        <v>38</v>
      </c>
    </row>
    <row r="56" spans="1:14" x14ac:dyDescent="0.3">
      <c r="A56" s="11">
        <v>45768</v>
      </c>
      <c r="B56" s="12" t="s">
        <v>45</v>
      </c>
      <c r="C56" s="12">
        <v>27.34</v>
      </c>
      <c r="D56" s="12">
        <v>9.5500000000000007</v>
      </c>
      <c r="E56" s="12">
        <f t="shared" si="0"/>
        <v>17.79</v>
      </c>
      <c r="F56" s="12" t="s">
        <v>43</v>
      </c>
      <c r="G56" s="12" t="s">
        <v>44</v>
      </c>
      <c r="H56" s="13">
        <v>1225</v>
      </c>
      <c r="I56" s="13">
        <f t="shared" si="1"/>
        <v>21792.75</v>
      </c>
      <c r="J56" s="13">
        <v>0</v>
      </c>
      <c r="K56" s="13">
        <f t="shared" si="4"/>
        <v>21792.75</v>
      </c>
      <c r="L56" s="13">
        <v>0</v>
      </c>
      <c r="M56" s="13">
        <f t="shared" si="5"/>
        <v>21792.75</v>
      </c>
      <c r="N56" s="14" t="s">
        <v>38</v>
      </c>
    </row>
    <row r="57" spans="1:14" ht="15" thickBot="1" x14ac:dyDescent="0.35">
      <c r="A57" s="15"/>
      <c r="B57" s="16" t="s">
        <v>19</v>
      </c>
      <c r="C57" s="16">
        <v>28.11</v>
      </c>
      <c r="D57" s="16">
        <v>9.82</v>
      </c>
      <c r="E57" s="16">
        <f t="shared" si="0"/>
        <v>18.29</v>
      </c>
      <c r="F57" s="16" t="s">
        <v>43</v>
      </c>
      <c r="G57" s="29" t="s">
        <v>44</v>
      </c>
      <c r="H57" s="17">
        <v>1225</v>
      </c>
      <c r="I57" s="17">
        <f t="shared" si="1"/>
        <v>22405.25</v>
      </c>
      <c r="J57" s="17">
        <v>0</v>
      </c>
      <c r="K57" s="17">
        <f t="shared" si="4"/>
        <v>22405.25</v>
      </c>
      <c r="L57" s="17">
        <v>0</v>
      </c>
      <c r="M57" s="17">
        <f t="shared" si="5"/>
        <v>22405.25</v>
      </c>
      <c r="N57" s="18" t="s">
        <v>38</v>
      </c>
    </row>
    <row r="58" spans="1:14" x14ac:dyDescent="0.3">
      <c r="A58" s="11">
        <v>45769</v>
      </c>
      <c r="B58" s="12" t="s">
        <v>45</v>
      </c>
      <c r="C58" s="12">
        <v>26.72</v>
      </c>
      <c r="D58" s="12">
        <v>9.5500000000000007</v>
      </c>
      <c r="E58" s="12">
        <f t="shared" si="0"/>
        <v>17.169999999999998</v>
      </c>
      <c r="F58" s="12" t="s">
        <v>43</v>
      </c>
      <c r="G58" s="12" t="s">
        <v>44</v>
      </c>
      <c r="H58" s="13">
        <v>1225</v>
      </c>
      <c r="I58" s="13">
        <f t="shared" si="1"/>
        <v>21033.249999999996</v>
      </c>
      <c r="J58" s="13">
        <v>0</v>
      </c>
      <c r="K58" s="13">
        <f t="shared" si="4"/>
        <v>21033.249999999996</v>
      </c>
      <c r="L58" s="13">
        <v>0</v>
      </c>
      <c r="M58" s="13">
        <f t="shared" si="5"/>
        <v>21033.249999999996</v>
      </c>
      <c r="N58" s="14" t="s">
        <v>38</v>
      </c>
    </row>
    <row r="59" spans="1:14" x14ac:dyDescent="0.3">
      <c r="A59" s="21"/>
      <c r="B59" s="22" t="s">
        <v>36</v>
      </c>
      <c r="C59" s="22">
        <v>29.43</v>
      </c>
      <c r="D59" s="22">
        <v>9.7200000000000006</v>
      </c>
      <c r="E59" s="22">
        <f t="shared" si="0"/>
        <v>19.71</v>
      </c>
      <c r="F59" s="22" t="s">
        <v>43</v>
      </c>
      <c r="G59" s="22" t="s">
        <v>44</v>
      </c>
      <c r="H59" s="23">
        <v>1225</v>
      </c>
      <c r="I59" s="23">
        <f t="shared" si="1"/>
        <v>24144.75</v>
      </c>
      <c r="J59" s="23">
        <v>0</v>
      </c>
      <c r="K59" s="23">
        <f t="shared" si="4"/>
        <v>24144.75</v>
      </c>
      <c r="L59" s="23">
        <v>0</v>
      </c>
      <c r="M59" s="23">
        <f t="shared" si="5"/>
        <v>24144.75</v>
      </c>
      <c r="N59" s="24" t="s">
        <v>38</v>
      </c>
    </row>
    <row r="60" spans="1:14" x14ac:dyDescent="0.3">
      <c r="A60" s="21"/>
      <c r="B60" s="22" t="s">
        <v>66</v>
      </c>
      <c r="C60" s="22">
        <v>17.440000000000001</v>
      </c>
      <c r="D60" s="22">
        <v>11.76</v>
      </c>
      <c r="E60" s="22">
        <f t="shared" si="0"/>
        <v>5.6800000000000015</v>
      </c>
      <c r="F60" s="22" t="s">
        <v>20</v>
      </c>
      <c r="G60" s="22" t="s">
        <v>67</v>
      </c>
      <c r="H60" s="23">
        <v>1350</v>
      </c>
      <c r="I60" s="23">
        <f t="shared" si="1"/>
        <v>7668.0000000000018</v>
      </c>
      <c r="J60" s="23">
        <v>0</v>
      </c>
      <c r="K60" s="23">
        <f t="shared" si="4"/>
        <v>7668.0000000000018</v>
      </c>
      <c r="L60" s="23">
        <v>18</v>
      </c>
      <c r="M60" s="23">
        <f t="shared" si="5"/>
        <v>7650.0000000000018</v>
      </c>
      <c r="N60" s="24" t="s">
        <v>18</v>
      </c>
    </row>
    <row r="61" spans="1:14" ht="15" thickBot="1" x14ac:dyDescent="0.35">
      <c r="A61" s="15"/>
      <c r="B61" s="16" t="s">
        <v>36</v>
      </c>
      <c r="C61" s="16">
        <v>29.31</v>
      </c>
      <c r="D61" s="16">
        <v>9.7200000000000006</v>
      </c>
      <c r="E61" s="16">
        <f t="shared" si="0"/>
        <v>19.589999999999996</v>
      </c>
      <c r="F61" s="16" t="s">
        <v>20</v>
      </c>
      <c r="G61" s="16" t="s">
        <v>68</v>
      </c>
      <c r="H61" s="17">
        <v>1300</v>
      </c>
      <c r="I61" s="17">
        <f t="shared" si="1"/>
        <v>25466.999999999996</v>
      </c>
      <c r="J61" s="17">
        <v>0</v>
      </c>
      <c r="K61" s="17">
        <f t="shared" si="4"/>
        <v>25466.999999999996</v>
      </c>
      <c r="L61" s="17">
        <v>0</v>
      </c>
      <c r="M61" s="17">
        <f t="shared" si="5"/>
        <v>25466.999999999996</v>
      </c>
      <c r="N61" s="18" t="s">
        <v>38</v>
      </c>
    </row>
    <row r="62" spans="1:14" x14ac:dyDescent="0.3">
      <c r="A62" s="11">
        <v>45770</v>
      </c>
      <c r="B62" s="12" t="s">
        <v>63</v>
      </c>
      <c r="C62" s="12">
        <v>29.91</v>
      </c>
      <c r="D62" s="12">
        <v>9.59</v>
      </c>
      <c r="E62" s="12">
        <f t="shared" si="0"/>
        <v>20.32</v>
      </c>
      <c r="F62" s="12" t="s">
        <v>20</v>
      </c>
      <c r="G62" s="12" t="s">
        <v>69</v>
      </c>
      <c r="H62" s="13">
        <v>1350</v>
      </c>
      <c r="I62" s="13">
        <f t="shared" si="1"/>
        <v>27432</v>
      </c>
      <c r="J62" s="13">
        <v>1500</v>
      </c>
      <c r="K62" s="13">
        <f t="shared" si="4"/>
        <v>28932</v>
      </c>
      <c r="L62" s="13">
        <v>0</v>
      </c>
      <c r="M62" s="13">
        <f t="shared" si="5"/>
        <v>28932</v>
      </c>
      <c r="N62" s="14" t="s">
        <v>29</v>
      </c>
    </row>
    <row r="63" spans="1:14" x14ac:dyDescent="0.3">
      <c r="A63" s="21"/>
      <c r="B63" s="22" t="s">
        <v>19</v>
      </c>
      <c r="C63" s="22">
        <v>28.85</v>
      </c>
      <c r="D63" s="22">
        <v>9.81</v>
      </c>
      <c r="E63" s="22">
        <f t="shared" si="0"/>
        <v>19.04</v>
      </c>
      <c r="F63" s="22" t="s">
        <v>20</v>
      </c>
      <c r="G63" s="22" t="s">
        <v>69</v>
      </c>
      <c r="H63" s="23">
        <v>1350</v>
      </c>
      <c r="I63" s="23">
        <f t="shared" si="1"/>
        <v>25704</v>
      </c>
      <c r="J63" s="23">
        <v>1500</v>
      </c>
      <c r="K63" s="23">
        <f t="shared" si="4"/>
        <v>27204</v>
      </c>
      <c r="L63" s="23">
        <v>0</v>
      </c>
      <c r="M63" s="23">
        <f t="shared" si="5"/>
        <v>27204</v>
      </c>
      <c r="N63" s="24" t="s">
        <v>29</v>
      </c>
    </row>
    <row r="64" spans="1:14" x14ac:dyDescent="0.3">
      <c r="A64" s="21"/>
      <c r="B64" s="22" t="s">
        <v>45</v>
      </c>
      <c r="C64" s="22">
        <v>29.15</v>
      </c>
      <c r="D64" s="22">
        <v>9.59</v>
      </c>
      <c r="E64" s="22">
        <f t="shared" si="0"/>
        <v>19.559999999999999</v>
      </c>
      <c r="F64" s="22" t="s">
        <v>20</v>
      </c>
      <c r="G64" s="22" t="s">
        <v>28</v>
      </c>
      <c r="H64" s="23">
        <v>1300</v>
      </c>
      <c r="I64" s="23">
        <f t="shared" si="1"/>
        <v>25428</v>
      </c>
      <c r="J64" s="23">
        <v>0</v>
      </c>
      <c r="K64" s="23">
        <f t="shared" si="4"/>
        <v>25428</v>
      </c>
      <c r="L64" s="23">
        <v>0</v>
      </c>
      <c r="M64" s="23">
        <f t="shared" si="5"/>
        <v>25428</v>
      </c>
      <c r="N64" s="24" t="s">
        <v>29</v>
      </c>
    </row>
    <row r="65" spans="1:14" ht="15" thickBot="1" x14ac:dyDescent="0.35">
      <c r="A65" s="15"/>
      <c r="B65" s="16" t="s">
        <v>45</v>
      </c>
      <c r="C65" s="16">
        <v>31.03</v>
      </c>
      <c r="D65" s="16">
        <v>9.57</v>
      </c>
      <c r="E65" s="16">
        <f t="shared" si="0"/>
        <v>21.46</v>
      </c>
      <c r="F65" s="16" t="s">
        <v>20</v>
      </c>
      <c r="G65" s="16" t="s">
        <v>28</v>
      </c>
      <c r="H65" s="17">
        <v>1300</v>
      </c>
      <c r="I65" s="17">
        <f t="shared" si="1"/>
        <v>27898</v>
      </c>
      <c r="J65" s="17">
        <v>0</v>
      </c>
      <c r="K65" s="17">
        <f t="shared" si="4"/>
        <v>27898</v>
      </c>
      <c r="L65" s="17">
        <v>0</v>
      </c>
      <c r="M65" s="17">
        <f t="shared" si="5"/>
        <v>27898</v>
      </c>
      <c r="N65" s="18" t="s">
        <v>29</v>
      </c>
    </row>
    <row r="66" spans="1:14" x14ac:dyDescent="0.3">
      <c r="A66" s="11">
        <v>45771</v>
      </c>
      <c r="B66" s="12" t="s">
        <v>19</v>
      </c>
      <c r="C66" s="12">
        <v>28.13</v>
      </c>
      <c r="D66" s="12">
        <v>9.81</v>
      </c>
      <c r="E66" s="12">
        <f t="shared" si="0"/>
        <v>18.32</v>
      </c>
      <c r="F66" s="12" t="s">
        <v>20</v>
      </c>
      <c r="G66" s="12" t="s">
        <v>69</v>
      </c>
      <c r="H66" s="13">
        <v>1350</v>
      </c>
      <c r="I66" s="13">
        <f t="shared" si="1"/>
        <v>24732</v>
      </c>
      <c r="J66" s="13">
        <v>1500</v>
      </c>
      <c r="K66" s="13">
        <f t="shared" si="4"/>
        <v>26232</v>
      </c>
      <c r="L66" s="13">
        <v>0</v>
      </c>
      <c r="M66" s="13">
        <f t="shared" si="5"/>
        <v>26232</v>
      </c>
      <c r="N66" s="14" t="s">
        <v>29</v>
      </c>
    </row>
    <row r="67" spans="1:14" ht="15" thickBot="1" x14ac:dyDescent="0.35">
      <c r="A67" s="15"/>
      <c r="B67" s="16" t="s">
        <v>45</v>
      </c>
      <c r="C67" s="16">
        <v>29.62</v>
      </c>
      <c r="D67" s="16">
        <v>9.56</v>
      </c>
      <c r="E67" s="16">
        <f t="shared" si="0"/>
        <v>20.060000000000002</v>
      </c>
      <c r="F67" s="16" t="s">
        <v>20</v>
      </c>
      <c r="G67" s="16" t="s">
        <v>21</v>
      </c>
      <c r="H67" s="17">
        <v>1350</v>
      </c>
      <c r="I67" s="17">
        <f t="shared" si="1"/>
        <v>27081.000000000004</v>
      </c>
      <c r="J67" s="17">
        <v>2000</v>
      </c>
      <c r="K67" s="17">
        <f t="shared" si="4"/>
        <v>29081.000000000004</v>
      </c>
      <c r="L67" s="17">
        <v>81</v>
      </c>
      <c r="M67" s="17">
        <f t="shared" si="5"/>
        <v>29000.000000000004</v>
      </c>
      <c r="N67" s="18" t="s">
        <v>22</v>
      </c>
    </row>
    <row r="68" spans="1:14" x14ac:dyDescent="0.3">
      <c r="A68" s="11">
        <v>45773</v>
      </c>
      <c r="B68" s="12" t="s">
        <v>45</v>
      </c>
      <c r="C68" s="12">
        <v>27.74</v>
      </c>
      <c r="D68" s="12">
        <v>9.5399999999999991</v>
      </c>
      <c r="E68" s="12">
        <f t="shared" si="0"/>
        <v>18.2</v>
      </c>
      <c r="F68" s="12" t="s">
        <v>20</v>
      </c>
      <c r="G68" s="12" t="s">
        <v>69</v>
      </c>
      <c r="H68" s="13">
        <v>1350</v>
      </c>
      <c r="I68" s="13">
        <f t="shared" si="1"/>
        <v>24570</v>
      </c>
      <c r="J68" s="13">
        <v>1500</v>
      </c>
      <c r="K68" s="13">
        <f t="shared" si="4"/>
        <v>26070</v>
      </c>
      <c r="L68" s="13">
        <v>0</v>
      </c>
      <c r="M68" s="13">
        <f t="shared" si="5"/>
        <v>26070</v>
      </c>
      <c r="N68" s="14" t="s">
        <v>29</v>
      </c>
    </row>
    <row r="69" spans="1:14" x14ac:dyDescent="0.3">
      <c r="A69" s="21"/>
      <c r="B69" s="22" t="s">
        <v>70</v>
      </c>
      <c r="C69" s="22">
        <v>2.4700000000000002</v>
      </c>
      <c r="D69" s="22">
        <v>1.68</v>
      </c>
      <c r="E69" s="22">
        <f t="shared" si="0"/>
        <v>0.79000000000000026</v>
      </c>
      <c r="F69" s="22" t="s">
        <v>16</v>
      </c>
      <c r="G69" s="22" t="s">
        <v>71</v>
      </c>
      <c r="H69" s="23">
        <v>1250</v>
      </c>
      <c r="I69" s="23">
        <f t="shared" si="1"/>
        <v>987.50000000000034</v>
      </c>
      <c r="J69" s="23">
        <v>0</v>
      </c>
      <c r="K69" s="23">
        <f t="shared" si="4"/>
        <v>987.50000000000034</v>
      </c>
      <c r="L69" s="23">
        <v>0.5</v>
      </c>
      <c r="M69" s="23">
        <f t="shared" si="5"/>
        <v>987.00000000000034</v>
      </c>
      <c r="N69" s="24" t="s">
        <v>22</v>
      </c>
    </row>
    <row r="70" spans="1:14" x14ac:dyDescent="0.3">
      <c r="A70" s="21"/>
      <c r="B70" s="22" t="s">
        <v>45</v>
      </c>
      <c r="C70" s="22">
        <v>19.84</v>
      </c>
      <c r="D70" s="22">
        <v>9.5399999999999991</v>
      </c>
      <c r="E70" s="22">
        <f t="shared" si="0"/>
        <v>10.3</v>
      </c>
      <c r="F70" s="22" t="s">
        <v>16</v>
      </c>
      <c r="G70" s="22" t="s">
        <v>60</v>
      </c>
      <c r="H70" s="23">
        <v>1150</v>
      </c>
      <c r="I70" s="23">
        <f t="shared" si="1"/>
        <v>11845</v>
      </c>
      <c r="J70" s="23">
        <v>700</v>
      </c>
      <c r="K70" s="23">
        <f t="shared" si="4"/>
        <v>12545</v>
      </c>
      <c r="L70" s="23">
        <v>45</v>
      </c>
      <c r="M70" s="23">
        <f t="shared" si="5"/>
        <v>12500</v>
      </c>
      <c r="N70" s="24" t="s">
        <v>18</v>
      </c>
    </row>
    <row r="71" spans="1:14" ht="15" thickBot="1" x14ac:dyDescent="0.35">
      <c r="A71" s="15"/>
      <c r="B71" s="16" t="s">
        <v>34</v>
      </c>
      <c r="C71" s="16">
        <v>7.03</v>
      </c>
      <c r="D71" s="16">
        <v>3.17</v>
      </c>
      <c r="E71" s="16">
        <f t="shared" si="0"/>
        <v>3.8600000000000003</v>
      </c>
      <c r="F71" s="16" t="s">
        <v>20</v>
      </c>
      <c r="G71" s="16" t="s">
        <v>72</v>
      </c>
      <c r="H71" s="17">
        <v>1350</v>
      </c>
      <c r="I71" s="17">
        <f t="shared" si="1"/>
        <v>5211</v>
      </c>
      <c r="J71" s="17">
        <v>0</v>
      </c>
      <c r="K71" s="17">
        <f t="shared" si="4"/>
        <v>5211</v>
      </c>
      <c r="L71" s="17">
        <v>11</v>
      </c>
      <c r="M71" s="17">
        <f t="shared" si="5"/>
        <v>5200</v>
      </c>
      <c r="N71" s="18" t="s">
        <v>18</v>
      </c>
    </row>
    <row r="72" spans="1:14" ht="15" thickBot="1" x14ac:dyDescent="0.35">
      <c r="A72" s="7">
        <v>45775</v>
      </c>
      <c r="B72" s="8" t="s">
        <v>45</v>
      </c>
      <c r="C72" s="8">
        <v>29.31</v>
      </c>
      <c r="D72" s="8">
        <v>9.52</v>
      </c>
      <c r="E72" s="8">
        <f t="shared" si="0"/>
        <v>19.79</v>
      </c>
      <c r="F72" s="8" t="s">
        <v>40</v>
      </c>
      <c r="G72" s="8" t="s">
        <v>62</v>
      </c>
      <c r="H72" s="9">
        <v>1100</v>
      </c>
      <c r="I72" s="9">
        <f t="shared" si="1"/>
        <v>21769</v>
      </c>
      <c r="J72" s="9">
        <v>0</v>
      </c>
      <c r="K72" s="9">
        <f t="shared" si="4"/>
        <v>21769</v>
      </c>
      <c r="L72" s="9">
        <v>0</v>
      </c>
      <c r="M72" s="9">
        <f t="shared" si="5"/>
        <v>21769</v>
      </c>
      <c r="N72" s="10" t="s">
        <v>38</v>
      </c>
    </row>
    <row r="73" spans="1:14" x14ac:dyDescent="0.3">
      <c r="A73" s="11">
        <v>45776</v>
      </c>
      <c r="B73" s="12" t="s">
        <v>36</v>
      </c>
      <c r="C73" s="12">
        <v>31.05</v>
      </c>
      <c r="D73" s="12">
        <v>9.7100000000000009</v>
      </c>
      <c r="E73" s="12">
        <f t="shared" si="0"/>
        <v>21.34</v>
      </c>
      <c r="F73" s="12" t="s">
        <v>40</v>
      </c>
      <c r="G73" s="12" t="s">
        <v>62</v>
      </c>
      <c r="H73" s="13">
        <v>1100</v>
      </c>
      <c r="I73" s="13">
        <f t="shared" si="1"/>
        <v>23474</v>
      </c>
      <c r="J73" s="13">
        <v>0</v>
      </c>
      <c r="K73" s="13">
        <f t="shared" si="4"/>
        <v>23474</v>
      </c>
      <c r="L73" s="13">
        <v>0</v>
      </c>
      <c r="M73" s="13">
        <f t="shared" si="5"/>
        <v>23474</v>
      </c>
      <c r="N73" s="14" t="s">
        <v>38</v>
      </c>
    </row>
    <row r="74" spans="1:14" x14ac:dyDescent="0.3">
      <c r="A74" s="21"/>
      <c r="B74" s="22" t="s">
        <v>63</v>
      </c>
      <c r="C74" s="22">
        <v>27.28</v>
      </c>
      <c r="D74" s="22">
        <v>9.57</v>
      </c>
      <c r="E74" s="22">
        <f t="shared" si="0"/>
        <v>17.71</v>
      </c>
      <c r="F74" s="22" t="s">
        <v>40</v>
      </c>
      <c r="G74" s="22" t="s">
        <v>62</v>
      </c>
      <c r="H74" s="23">
        <v>1100</v>
      </c>
      <c r="I74" s="23">
        <f t="shared" si="1"/>
        <v>19481</v>
      </c>
      <c r="J74" s="23">
        <v>0</v>
      </c>
      <c r="K74" s="23">
        <f t="shared" si="4"/>
        <v>19481</v>
      </c>
      <c r="L74" s="23">
        <v>0</v>
      </c>
      <c r="M74" s="23">
        <f t="shared" si="5"/>
        <v>19481</v>
      </c>
      <c r="N74" s="24" t="s">
        <v>38</v>
      </c>
    </row>
    <row r="75" spans="1:14" x14ac:dyDescent="0.3">
      <c r="A75" s="21"/>
      <c r="B75" s="22" t="s">
        <v>42</v>
      </c>
      <c r="C75" s="22">
        <v>27.32</v>
      </c>
      <c r="D75" s="22">
        <v>9.68</v>
      </c>
      <c r="E75" s="22">
        <f t="shared" si="0"/>
        <v>17.64</v>
      </c>
      <c r="F75" s="22" t="s">
        <v>40</v>
      </c>
      <c r="G75" s="22" t="s">
        <v>62</v>
      </c>
      <c r="H75" s="23">
        <v>1100</v>
      </c>
      <c r="I75" s="23">
        <f t="shared" si="1"/>
        <v>19404</v>
      </c>
      <c r="J75" s="23">
        <v>0</v>
      </c>
      <c r="K75" s="23">
        <f t="shared" si="4"/>
        <v>19404</v>
      </c>
      <c r="L75" s="23">
        <v>0</v>
      </c>
      <c r="M75" s="23">
        <f t="shared" si="5"/>
        <v>19404</v>
      </c>
      <c r="N75" s="24" t="s">
        <v>38</v>
      </c>
    </row>
    <row r="76" spans="1:14" x14ac:dyDescent="0.3">
      <c r="A76" s="21"/>
      <c r="B76" s="22" t="s">
        <v>47</v>
      </c>
      <c r="C76" s="22">
        <v>27.03</v>
      </c>
      <c r="D76" s="22">
        <v>9.76</v>
      </c>
      <c r="E76" s="22">
        <f t="shared" si="0"/>
        <v>17.270000000000003</v>
      </c>
      <c r="F76" s="22" t="s">
        <v>40</v>
      </c>
      <c r="G76" s="22" t="s">
        <v>62</v>
      </c>
      <c r="H76" s="23">
        <v>1100</v>
      </c>
      <c r="I76" s="23">
        <f t="shared" si="1"/>
        <v>18997.000000000004</v>
      </c>
      <c r="J76" s="23">
        <v>0</v>
      </c>
      <c r="K76" s="23">
        <f t="shared" si="4"/>
        <v>18997.000000000004</v>
      </c>
      <c r="L76" s="23">
        <v>0</v>
      </c>
      <c r="M76" s="23">
        <f t="shared" si="5"/>
        <v>18997.000000000004</v>
      </c>
      <c r="N76" s="24" t="s">
        <v>38</v>
      </c>
    </row>
    <row r="77" spans="1:14" ht="15" thickBot="1" x14ac:dyDescent="0.35">
      <c r="A77" s="21"/>
      <c r="B77" s="34" t="s">
        <v>19</v>
      </c>
      <c r="C77" s="34">
        <v>26.29</v>
      </c>
      <c r="D77" s="34">
        <v>9.85</v>
      </c>
      <c r="E77" s="34">
        <f t="shared" si="0"/>
        <v>16.439999999999998</v>
      </c>
      <c r="F77" s="34" t="s">
        <v>20</v>
      </c>
      <c r="G77" s="34" t="s">
        <v>69</v>
      </c>
      <c r="H77" s="35">
        <v>1350</v>
      </c>
      <c r="I77" s="35">
        <f t="shared" si="1"/>
        <v>22193.999999999996</v>
      </c>
      <c r="J77" s="35">
        <v>1500</v>
      </c>
      <c r="K77" s="35">
        <f t="shared" si="4"/>
        <v>23693.999999999996</v>
      </c>
      <c r="L77" s="35">
        <v>0</v>
      </c>
      <c r="M77" s="35">
        <f t="shared" si="5"/>
        <v>23693.999999999996</v>
      </c>
      <c r="N77" s="36" t="s">
        <v>29</v>
      </c>
    </row>
    <row r="78" spans="1:14" x14ac:dyDescent="0.3">
      <c r="A78" s="11">
        <v>45777</v>
      </c>
      <c r="B78" s="12" t="s">
        <v>73</v>
      </c>
      <c r="C78" s="37">
        <v>6.62</v>
      </c>
      <c r="D78" s="37">
        <v>3.13</v>
      </c>
      <c r="E78" s="37">
        <f t="shared" si="0"/>
        <v>3.49</v>
      </c>
      <c r="F78" s="12" t="s">
        <v>16</v>
      </c>
      <c r="G78" s="12" t="s">
        <v>74</v>
      </c>
      <c r="H78" s="13">
        <v>1200</v>
      </c>
      <c r="I78" s="13">
        <f t="shared" si="1"/>
        <v>4188</v>
      </c>
      <c r="J78" s="13">
        <v>0</v>
      </c>
      <c r="K78" s="13">
        <f t="shared" si="4"/>
        <v>4188</v>
      </c>
      <c r="L78" s="13"/>
      <c r="M78" s="13">
        <f t="shared" si="5"/>
        <v>4188</v>
      </c>
      <c r="N78" s="14" t="s">
        <v>18</v>
      </c>
    </row>
    <row r="79" spans="1:14" x14ac:dyDescent="0.3">
      <c r="A79" s="21"/>
      <c r="B79" s="22" t="s">
        <v>45</v>
      </c>
      <c r="C79" s="38">
        <v>28.25</v>
      </c>
      <c r="D79" s="38">
        <v>9.56</v>
      </c>
      <c r="E79" s="38">
        <f t="shared" si="0"/>
        <v>18.689999999999998</v>
      </c>
      <c r="F79" s="22" t="s">
        <v>40</v>
      </c>
      <c r="G79" s="22" t="s">
        <v>75</v>
      </c>
      <c r="H79" s="23">
        <v>1200</v>
      </c>
      <c r="I79" s="23">
        <f t="shared" si="1"/>
        <v>22427.999999999996</v>
      </c>
      <c r="J79" s="23">
        <v>3500</v>
      </c>
      <c r="K79" s="23">
        <f t="shared" si="4"/>
        <v>25927.999999999996</v>
      </c>
      <c r="L79" s="23">
        <v>0</v>
      </c>
      <c r="M79" s="23">
        <f t="shared" si="5"/>
        <v>25927.999999999996</v>
      </c>
      <c r="N79" s="24" t="s">
        <v>29</v>
      </c>
    </row>
    <row r="80" spans="1:14" x14ac:dyDescent="0.3">
      <c r="A80" s="21"/>
      <c r="B80" s="22" t="s">
        <v>36</v>
      </c>
      <c r="C80" s="38">
        <v>29.51</v>
      </c>
      <c r="D80" s="38">
        <v>9.7200000000000006</v>
      </c>
      <c r="E80" s="38">
        <f t="shared" si="0"/>
        <v>19.79</v>
      </c>
      <c r="F80" s="22" t="s">
        <v>43</v>
      </c>
      <c r="G80" s="22" t="s">
        <v>76</v>
      </c>
      <c r="H80" s="23">
        <v>1365</v>
      </c>
      <c r="I80" s="23">
        <f t="shared" si="1"/>
        <v>27013.35</v>
      </c>
      <c r="J80" s="23"/>
      <c r="K80" s="23">
        <f t="shared" si="4"/>
        <v>27013.35</v>
      </c>
      <c r="L80" s="23"/>
      <c r="M80" s="23">
        <f t="shared" si="5"/>
        <v>27013.35</v>
      </c>
      <c r="N80" s="24" t="s">
        <v>38</v>
      </c>
    </row>
    <row r="81" spans="1:14" x14ac:dyDescent="0.3">
      <c r="A81" s="21"/>
      <c r="B81" s="22" t="s">
        <v>15</v>
      </c>
      <c r="C81" s="38">
        <v>4.3600000000000003</v>
      </c>
      <c r="D81" s="38">
        <v>2.88</v>
      </c>
      <c r="E81" s="38">
        <f t="shared" si="0"/>
        <v>1.4800000000000004</v>
      </c>
      <c r="F81" s="22" t="s">
        <v>20</v>
      </c>
      <c r="G81" s="22" t="s">
        <v>77</v>
      </c>
      <c r="H81" s="23">
        <v>1350</v>
      </c>
      <c r="I81" s="23">
        <f t="shared" si="1"/>
        <v>1998.0000000000007</v>
      </c>
      <c r="J81" s="23">
        <v>0</v>
      </c>
      <c r="K81" s="23">
        <f t="shared" si="4"/>
        <v>1998.0000000000007</v>
      </c>
      <c r="L81" s="23">
        <v>0</v>
      </c>
      <c r="M81" s="23">
        <f t="shared" si="5"/>
        <v>1998.0000000000007</v>
      </c>
      <c r="N81" s="24" t="s">
        <v>18</v>
      </c>
    </row>
    <row r="82" spans="1:14" x14ac:dyDescent="0.3">
      <c r="A82" s="21"/>
      <c r="B82" s="22" t="s">
        <v>45</v>
      </c>
      <c r="C82" s="38">
        <v>28.32</v>
      </c>
      <c r="D82" s="38">
        <v>9.56</v>
      </c>
      <c r="E82" s="38">
        <f t="shared" si="0"/>
        <v>18.759999999999998</v>
      </c>
      <c r="F82" s="22" t="s">
        <v>43</v>
      </c>
      <c r="G82" s="22" t="s">
        <v>76</v>
      </c>
      <c r="H82" s="23">
        <v>1365</v>
      </c>
      <c r="I82" s="23">
        <f t="shared" si="1"/>
        <v>25607.399999999998</v>
      </c>
      <c r="J82" s="23"/>
      <c r="K82" s="23">
        <f t="shared" si="4"/>
        <v>25607.399999999998</v>
      </c>
      <c r="L82" s="23"/>
      <c r="M82" s="23">
        <f t="shared" si="5"/>
        <v>25607.399999999998</v>
      </c>
      <c r="N82" s="24" t="s">
        <v>38</v>
      </c>
    </row>
    <row r="83" spans="1:14" ht="15" thickBot="1" x14ac:dyDescent="0.35">
      <c r="A83" s="39"/>
      <c r="B83" s="34" t="s">
        <v>45</v>
      </c>
      <c r="C83" s="40">
        <v>13.75</v>
      </c>
      <c r="D83" s="40">
        <v>9.56</v>
      </c>
      <c r="E83" s="40">
        <f t="shared" si="0"/>
        <v>4.1899999999999995</v>
      </c>
      <c r="F83" s="34" t="s">
        <v>20</v>
      </c>
      <c r="G83" s="34" t="s">
        <v>78</v>
      </c>
      <c r="H83" s="35">
        <v>1350</v>
      </c>
      <c r="I83" s="35">
        <f t="shared" si="1"/>
        <v>5656.4999999999991</v>
      </c>
      <c r="J83" s="35">
        <v>500</v>
      </c>
      <c r="K83" s="35">
        <f t="shared" si="4"/>
        <v>6156.4999999999991</v>
      </c>
      <c r="L83" s="35">
        <v>56</v>
      </c>
      <c r="M83" s="35">
        <f t="shared" si="5"/>
        <v>6100.4999999999991</v>
      </c>
      <c r="N83" s="36" t="s">
        <v>18</v>
      </c>
    </row>
    <row r="84" spans="1:14" ht="15" thickBot="1" x14ac:dyDescent="0.35">
      <c r="A84" s="41" t="s">
        <v>79</v>
      </c>
      <c r="B84" s="42"/>
      <c r="C84" s="43">
        <f t="shared" ref="C84:E84" si="6">SUM(C3:C83)</f>
        <v>1998.6899999999991</v>
      </c>
      <c r="D84" s="43">
        <f t="shared" si="6"/>
        <v>719.10999999999967</v>
      </c>
      <c r="E84" s="43">
        <f t="shared" si="6"/>
        <v>1279.58</v>
      </c>
      <c r="F84" s="44"/>
      <c r="G84" s="44"/>
      <c r="H84" s="45">
        <f t="shared" ref="H84:M84" si="7">SUM(H3:H83)</f>
        <v>97105</v>
      </c>
      <c r="I84" s="45">
        <f t="shared" si="7"/>
        <v>1507438</v>
      </c>
      <c r="J84" s="45">
        <f t="shared" si="7"/>
        <v>46200</v>
      </c>
      <c r="K84" s="45">
        <f t="shared" si="7"/>
        <v>1553644</v>
      </c>
      <c r="L84" s="45">
        <f t="shared" si="7"/>
        <v>489</v>
      </c>
      <c r="M84" s="45">
        <f t="shared" si="7"/>
        <v>1553708</v>
      </c>
      <c r="N84" s="46"/>
    </row>
  </sheetData>
  <mergeCells count="19">
    <mergeCell ref="A84:B84"/>
    <mergeCell ref="A58:A61"/>
    <mergeCell ref="A62:A65"/>
    <mergeCell ref="A66:A67"/>
    <mergeCell ref="A68:A71"/>
    <mergeCell ref="A73:A77"/>
    <mergeCell ref="A78:A83"/>
    <mergeCell ref="A27:A29"/>
    <mergeCell ref="A30:A37"/>
    <mergeCell ref="A38:A44"/>
    <mergeCell ref="A45:A49"/>
    <mergeCell ref="A50:A55"/>
    <mergeCell ref="A56:A57"/>
    <mergeCell ref="A1:N1"/>
    <mergeCell ref="A7:A8"/>
    <mergeCell ref="A10:A13"/>
    <mergeCell ref="A15:A17"/>
    <mergeCell ref="A18:A19"/>
    <mergeCell ref="A20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sahoo</dc:creator>
  <cp:lastModifiedBy>ankit sahoo</cp:lastModifiedBy>
  <dcterms:created xsi:type="dcterms:W3CDTF">2026-03-17T12:58:06Z</dcterms:created>
  <dcterms:modified xsi:type="dcterms:W3CDTF">2026-03-17T12:59:52Z</dcterms:modified>
</cp:coreProperties>
</file>