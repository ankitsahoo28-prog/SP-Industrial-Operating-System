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SP CO\MTM\"/>
    </mc:Choice>
  </mc:AlternateContent>
  <xr:revisionPtr revIDLastSave="0" documentId="13_ncr:1_{DC2F1179-9AE0-484E-B97C-E1D9AE0C18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ISPTACH" sheetId="1" r:id="rId1"/>
    <sheet name="RECEIVING" sheetId="4" r:id="rId2"/>
    <sheet name="EXP." sheetId="2" r:id="rId3"/>
    <sheet name="P&amp;L" sheetId="3" r:id="rId4"/>
    <sheet name="PAYABLES AND RECEIVABLES" sheetId="5" r:id="rId5"/>
  </sheets>
  <definedNames>
    <definedName name="_xlnm._FilterDatabase" localSheetId="0" hidden="1">DISPTACH!$A$1177:$N$1240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94" i="2" l="1"/>
  <c r="F117" i="3"/>
  <c r="C701" i="2"/>
  <c r="M1294" i="1"/>
  <c r="L1294" i="1"/>
  <c r="K1294" i="1"/>
  <c r="J1294" i="1"/>
  <c r="I1294" i="1"/>
  <c r="E1294" i="1"/>
  <c r="D1294" i="1"/>
  <c r="C1294" i="1"/>
  <c r="M1293" i="1"/>
  <c r="K1293" i="1"/>
  <c r="I1293" i="1"/>
  <c r="E1293" i="1"/>
  <c r="M1292" i="1"/>
  <c r="K1292" i="1"/>
  <c r="I1292" i="1"/>
  <c r="M1291" i="1"/>
  <c r="K1291" i="1"/>
  <c r="I1291" i="1"/>
  <c r="M1290" i="1"/>
  <c r="K1290" i="1"/>
  <c r="I1290" i="1"/>
  <c r="E1292" i="1"/>
  <c r="E1291" i="1"/>
  <c r="E1290" i="1"/>
  <c r="I1289" i="1"/>
  <c r="K1289" i="1" s="1"/>
  <c r="M1289" i="1" s="1"/>
  <c r="E1289" i="1"/>
  <c r="E1288" i="1"/>
  <c r="I1288" i="1" s="1"/>
  <c r="K1288" i="1" s="1"/>
  <c r="M1288" i="1" s="1"/>
  <c r="M1285" i="1"/>
  <c r="K1285" i="1"/>
  <c r="I1285" i="1"/>
  <c r="M1284" i="1"/>
  <c r="M1283" i="1"/>
  <c r="K1284" i="1"/>
  <c r="K1283" i="1"/>
  <c r="I1284" i="1"/>
  <c r="I1283" i="1"/>
  <c r="M1281" i="1"/>
  <c r="K1281" i="1"/>
  <c r="I1281" i="1"/>
  <c r="I1287" i="1"/>
  <c r="K1287" i="1" s="1"/>
  <c r="M1287" i="1" s="1"/>
  <c r="I1286" i="1"/>
  <c r="K1286" i="1" s="1"/>
  <c r="M1286" i="1" s="1"/>
  <c r="I1282" i="1"/>
  <c r="K1282" i="1" s="1"/>
  <c r="M1282" i="1" s="1"/>
  <c r="I1280" i="1"/>
  <c r="K1280" i="1" s="1"/>
  <c r="M1280" i="1" s="1"/>
  <c r="E1287" i="1"/>
  <c r="E1286" i="1"/>
  <c r="E1285" i="1"/>
  <c r="E1284" i="1"/>
  <c r="E1283" i="1"/>
  <c r="E1282" i="1"/>
  <c r="E1281" i="1"/>
  <c r="E1280" i="1"/>
  <c r="M1279" i="1"/>
  <c r="K1279" i="1"/>
  <c r="I1279" i="1"/>
  <c r="E1279" i="1"/>
  <c r="M1278" i="1"/>
  <c r="M1277" i="1"/>
  <c r="M1276" i="1"/>
  <c r="K1278" i="1"/>
  <c r="K1277" i="1"/>
  <c r="K1276" i="1"/>
  <c r="I1278" i="1"/>
  <c r="I1277" i="1"/>
  <c r="I1276" i="1"/>
  <c r="E1278" i="1"/>
  <c r="E1277" i="1"/>
  <c r="E1276" i="1"/>
  <c r="M1275" i="1"/>
  <c r="K1275" i="1"/>
  <c r="I1275" i="1"/>
  <c r="E1275" i="1"/>
  <c r="M1274" i="1"/>
  <c r="K1274" i="1"/>
  <c r="I1274" i="1"/>
  <c r="E1274" i="1"/>
  <c r="M1273" i="1"/>
  <c r="M1272" i="1"/>
  <c r="K1273" i="1"/>
  <c r="K1272" i="1"/>
  <c r="I1273" i="1"/>
  <c r="I1272" i="1"/>
  <c r="E1273" i="1"/>
  <c r="E1272" i="1"/>
  <c r="I1271" i="1"/>
  <c r="K1271" i="1" s="1"/>
  <c r="M1271" i="1" s="1"/>
  <c r="M1270" i="1"/>
  <c r="K1270" i="1"/>
  <c r="I1270" i="1"/>
  <c r="M1269" i="1"/>
  <c r="K1269" i="1"/>
  <c r="I1269" i="1"/>
  <c r="M1268" i="1"/>
  <c r="Q1266" i="1"/>
  <c r="K1268" i="1"/>
  <c r="I1268" i="1"/>
  <c r="Q1270" i="1"/>
  <c r="Q1268" i="1"/>
  <c r="E1271" i="1"/>
  <c r="E1270" i="1"/>
  <c r="E1269" i="1"/>
  <c r="E1268" i="1"/>
  <c r="M1267" i="1"/>
  <c r="K1267" i="1"/>
  <c r="I1267" i="1"/>
  <c r="E1267" i="1"/>
  <c r="E1266" i="1"/>
  <c r="I1266" i="1" s="1"/>
  <c r="K1266" i="1" s="1"/>
  <c r="M1266" i="1" s="1"/>
  <c r="E1265" i="1"/>
  <c r="I1265" i="1" s="1"/>
  <c r="K1265" i="1" s="1"/>
  <c r="M1265" i="1" s="1"/>
  <c r="E1264" i="1"/>
  <c r="I1264" i="1" s="1"/>
  <c r="K1264" i="1" s="1"/>
  <c r="M1264" i="1" s="1"/>
  <c r="I1263" i="1"/>
  <c r="K1263" i="1" s="1"/>
  <c r="M1263" i="1" s="1"/>
  <c r="E1263" i="1" l="1"/>
  <c r="E1262" i="1"/>
  <c r="I1262" i="1" s="1"/>
  <c r="K1262" i="1" s="1"/>
  <c r="M1262" i="1" s="1"/>
  <c r="E1261" i="1"/>
  <c r="I1261" i="1" s="1"/>
  <c r="K1261" i="1" s="1"/>
  <c r="M1261" i="1" s="1"/>
  <c r="E1260" i="1"/>
  <c r="I1260" i="1" s="1"/>
  <c r="K1260" i="1" s="1"/>
  <c r="M1260" i="1" s="1"/>
  <c r="E1259" i="1"/>
  <c r="I1259" i="1" s="1"/>
  <c r="K1259" i="1" s="1"/>
  <c r="M1259" i="1" s="1"/>
  <c r="I1258" i="1"/>
  <c r="K1258" i="1" s="1"/>
  <c r="M1258" i="1" s="1"/>
  <c r="K1257" i="1"/>
  <c r="M1257" i="1" s="1"/>
  <c r="I1257" i="1"/>
  <c r="I1256" i="1"/>
  <c r="K1256" i="1" s="1"/>
  <c r="M1256" i="1" s="1"/>
  <c r="K1255" i="1"/>
  <c r="M1255" i="1" s="1"/>
  <c r="I1255" i="1"/>
  <c r="E1258" i="1"/>
  <c r="E1257" i="1"/>
  <c r="E1256" i="1"/>
  <c r="E1255" i="1"/>
  <c r="E1254" i="1"/>
  <c r="I1254" i="1" s="1"/>
  <c r="K1254" i="1" s="1"/>
  <c r="M1254" i="1" s="1"/>
  <c r="M1253" i="1"/>
  <c r="K1253" i="1"/>
  <c r="I1253" i="1"/>
  <c r="E1253" i="1"/>
  <c r="M1252" i="1"/>
  <c r="K1252" i="1"/>
  <c r="I1252" i="1"/>
  <c r="M1251" i="1"/>
  <c r="K1251" i="1"/>
  <c r="I1251" i="1"/>
  <c r="M1250" i="1"/>
  <c r="K1250" i="1"/>
  <c r="I1250" i="1"/>
  <c r="E1252" i="1"/>
  <c r="E1251" i="1"/>
  <c r="E1250" i="1"/>
  <c r="K1249" i="1"/>
  <c r="M1249" i="1" s="1"/>
  <c r="I1249" i="1"/>
  <c r="I1248" i="1"/>
  <c r="K1248" i="1" s="1"/>
  <c r="M1248" i="1" s="1"/>
  <c r="K1247" i="1"/>
  <c r="M1247" i="1" s="1"/>
  <c r="I1247" i="1"/>
  <c r="I1246" i="1"/>
  <c r="K1246" i="1" s="1"/>
  <c r="M1246" i="1" s="1"/>
  <c r="I1245" i="1"/>
  <c r="K1245" i="1" s="1"/>
  <c r="M1245" i="1" s="1"/>
  <c r="E1246" i="1"/>
  <c r="E1247" i="1"/>
  <c r="E1248" i="1"/>
  <c r="E1249" i="1"/>
  <c r="E1245" i="1"/>
  <c r="D1240" i="1"/>
  <c r="C1240" i="1"/>
  <c r="L1240" i="1"/>
  <c r="J1240" i="1"/>
  <c r="C117" i="3"/>
  <c r="F116" i="3" s="1"/>
  <c r="I608" i="2"/>
  <c r="C655" i="2"/>
  <c r="C94" i="4"/>
  <c r="E1239" i="1"/>
  <c r="I1239" i="1" s="1"/>
  <c r="K1239" i="1" s="1"/>
  <c r="M1239" i="1" s="1"/>
  <c r="E1238" i="1"/>
  <c r="I1238" i="1" s="1"/>
  <c r="K1238" i="1" s="1"/>
  <c r="M1238" i="1" s="1"/>
  <c r="E1237" i="1"/>
  <c r="I1237" i="1" s="1"/>
  <c r="K1237" i="1" s="1"/>
  <c r="M1237" i="1" s="1"/>
  <c r="E1236" i="1"/>
  <c r="I1236" i="1" s="1"/>
  <c r="K1236" i="1" s="1"/>
  <c r="M1236" i="1" s="1"/>
  <c r="E1235" i="1"/>
  <c r="I1235" i="1" s="1"/>
  <c r="K1235" i="1" s="1"/>
  <c r="M1235" i="1" s="1"/>
  <c r="E1234" i="1"/>
  <c r="I1234" i="1" s="1"/>
  <c r="K1234" i="1" s="1"/>
  <c r="M1234" i="1" s="1"/>
  <c r="E1233" i="1"/>
  <c r="I1233" i="1" s="1"/>
  <c r="K1233" i="1" s="1"/>
  <c r="M1233" i="1" s="1"/>
  <c r="E1232" i="1"/>
  <c r="I1232" i="1" s="1"/>
  <c r="K1232" i="1" s="1"/>
  <c r="M1232" i="1" s="1"/>
  <c r="E1231" i="1"/>
  <c r="I1231" i="1" s="1"/>
  <c r="K1231" i="1" s="1"/>
  <c r="M1231" i="1" s="1"/>
  <c r="E1230" i="1"/>
  <c r="I1230" i="1" s="1"/>
  <c r="K1230" i="1" s="1"/>
  <c r="M1230" i="1" s="1"/>
  <c r="E1229" i="1"/>
  <c r="I1229" i="1" s="1"/>
  <c r="K1229" i="1" s="1"/>
  <c r="M1229" i="1" s="1"/>
  <c r="E1228" i="1"/>
  <c r="I1228" i="1" s="1"/>
  <c r="K1228" i="1" s="1"/>
  <c r="M1228" i="1" s="1"/>
  <c r="E1227" i="1"/>
  <c r="I1227" i="1" s="1"/>
  <c r="K1227" i="1" s="1"/>
  <c r="M1227" i="1" s="1"/>
  <c r="E1226" i="1"/>
  <c r="I1226" i="1" s="1"/>
  <c r="K1226" i="1" s="1"/>
  <c r="M1226" i="1" s="1"/>
  <c r="E1225" i="1"/>
  <c r="I1225" i="1" s="1"/>
  <c r="K1225" i="1" s="1"/>
  <c r="M1225" i="1" s="1"/>
  <c r="E1224" i="1"/>
  <c r="I1224" i="1" s="1"/>
  <c r="K1224" i="1" s="1"/>
  <c r="M1224" i="1" s="1"/>
  <c r="E1223" i="1"/>
  <c r="I1223" i="1" s="1"/>
  <c r="K1223" i="1" s="1"/>
  <c r="M1223" i="1" s="1"/>
  <c r="C77" i="4"/>
  <c r="E1222" i="1"/>
  <c r="I1222" i="1" s="1"/>
  <c r="K1222" i="1" s="1"/>
  <c r="M1222" i="1" s="1"/>
  <c r="E1221" i="1"/>
  <c r="I1221" i="1" s="1"/>
  <c r="K1221" i="1" s="1"/>
  <c r="M1221" i="1" s="1"/>
  <c r="E1220" i="1"/>
  <c r="I1220" i="1" s="1"/>
  <c r="K1220" i="1" s="1"/>
  <c r="M1220" i="1" s="1"/>
  <c r="E1219" i="1"/>
  <c r="I1219" i="1" s="1"/>
  <c r="K1219" i="1" s="1"/>
  <c r="M1219" i="1" s="1"/>
  <c r="E1218" i="1"/>
  <c r="I1218" i="1" s="1"/>
  <c r="K1218" i="1" s="1"/>
  <c r="M1218" i="1" s="1"/>
  <c r="E1217" i="1"/>
  <c r="I1217" i="1" s="1"/>
  <c r="K1217" i="1" s="1"/>
  <c r="M1217" i="1" s="1"/>
  <c r="E1216" i="1"/>
  <c r="I1216" i="1" s="1"/>
  <c r="K1216" i="1" s="1"/>
  <c r="M1216" i="1" s="1"/>
  <c r="E1215" i="1"/>
  <c r="I1215" i="1" s="1"/>
  <c r="K1215" i="1" s="1"/>
  <c r="M1215" i="1" s="1"/>
  <c r="E1214" i="1"/>
  <c r="I1214" i="1" s="1"/>
  <c r="K1214" i="1" s="1"/>
  <c r="M1214" i="1" s="1"/>
  <c r="E1213" i="1"/>
  <c r="I1213" i="1" s="1"/>
  <c r="K1213" i="1" s="1"/>
  <c r="M1213" i="1" s="1"/>
  <c r="E1212" i="1"/>
  <c r="I1212" i="1" s="1"/>
  <c r="K1212" i="1" s="1"/>
  <c r="M1212" i="1" s="1"/>
  <c r="E1211" i="1"/>
  <c r="I1211" i="1" s="1"/>
  <c r="K1211" i="1" s="1"/>
  <c r="M1211" i="1" s="1"/>
  <c r="E1210" i="1"/>
  <c r="I1210" i="1" s="1"/>
  <c r="K1210" i="1" s="1"/>
  <c r="M1210" i="1" s="1"/>
  <c r="E1209" i="1"/>
  <c r="I1209" i="1" s="1"/>
  <c r="K1209" i="1" s="1"/>
  <c r="M1209" i="1" s="1"/>
  <c r="E1208" i="1"/>
  <c r="I1208" i="1" s="1"/>
  <c r="K1208" i="1" s="1"/>
  <c r="M1208" i="1" s="1"/>
  <c r="E1207" i="1"/>
  <c r="I1207" i="1" s="1"/>
  <c r="K1207" i="1" s="1"/>
  <c r="M1207" i="1" s="1"/>
  <c r="E1206" i="1"/>
  <c r="I1206" i="1" s="1"/>
  <c r="K1206" i="1" s="1"/>
  <c r="M1206" i="1" s="1"/>
  <c r="E1205" i="1"/>
  <c r="I1205" i="1" s="1"/>
  <c r="K1205" i="1" s="1"/>
  <c r="M1205" i="1" s="1"/>
  <c r="E1204" i="1"/>
  <c r="I1204" i="1" s="1"/>
  <c r="K1204" i="1" s="1"/>
  <c r="M1204" i="1" s="1"/>
  <c r="E1203" i="1"/>
  <c r="I1203" i="1" s="1"/>
  <c r="K1203" i="1" s="1"/>
  <c r="M1203" i="1" s="1"/>
  <c r="E1202" i="1"/>
  <c r="I1202" i="1" s="1"/>
  <c r="K1202" i="1" s="1"/>
  <c r="M1202" i="1" s="1"/>
  <c r="E1201" i="1"/>
  <c r="I1201" i="1" s="1"/>
  <c r="K1201" i="1" s="1"/>
  <c r="M1201" i="1" s="1"/>
  <c r="E1200" i="1"/>
  <c r="I1200" i="1" s="1"/>
  <c r="K1200" i="1" s="1"/>
  <c r="M1200" i="1" s="1"/>
  <c r="E1199" i="1"/>
  <c r="I1199" i="1" s="1"/>
  <c r="K1199" i="1" s="1"/>
  <c r="M1199" i="1" s="1"/>
  <c r="E1198" i="1"/>
  <c r="I1198" i="1" s="1"/>
  <c r="K1198" i="1" s="1"/>
  <c r="M1198" i="1" s="1"/>
  <c r="E1197" i="1"/>
  <c r="I1197" i="1" s="1"/>
  <c r="K1197" i="1" s="1"/>
  <c r="M1197" i="1" s="1"/>
  <c r="E1196" i="1"/>
  <c r="I1196" i="1" s="1"/>
  <c r="K1196" i="1" s="1"/>
  <c r="M1196" i="1" s="1"/>
  <c r="E1195" i="1"/>
  <c r="I1195" i="1" s="1"/>
  <c r="K1195" i="1" s="1"/>
  <c r="M1195" i="1" s="1"/>
  <c r="E1194" i="1"/>
  <c r="I1194" i="1" s="1"/>
  <c r="K1194" i="1" s="1"/>
  <c r="M1194" i="1" s="1"/>
  <c r="E1193" i="1"/>
  <c r="I1193" i="1" s="1"/>
  <c r="K1193" i="1" s="1"/>
  <c r="M1193" i="1" s="1"/>
  <c r="E1192" i="1"/>
  <c r="I1192" i="1" s="1"/>
  <c r="K1192" i="1" s="1"/>
  <c r="M1192" i="1" s="1"/>
  <c r="E1191" i="1"/>
  <c r="I1191" i="1" s="1"/>
  <c r="K1191" i="1" s="1"/>
  <c r="M1191" i="1" s="1"/>
  <c r="E1190" i="1"/>
  <c r="I1190" i="1" s="1"/>
  <c r="K1190" i="1" s="1"/>
  <c r="M1190" i="1" s="1"/>
  <c r="E1181" i="1"/>
  <c r="I1181" i="1" s="1"/>
  <c r="K1181" i="1" s="1"/>
  <c r="M1181" i="1" s="1"/>
  <c r="E1182" i="1"/>
  <c r="I1182" i="1" s="1"/>
  <c r="K1182" i="1" s="1"/>
  <c r="M1182" i="1" s="1"/>
  <c r="E1183" i="1"/>
  <c r="I1183" i="1" s="1"/>
  <c r="K1183" i="1" s="1"/>
  <c r="M1183" i="1" s="1"/>
  <c r="E1184" i="1"/>
  <c r="I1184" i="1" s="1"/>
  <c r="K1184" i="1" s="1"/>
  <c r="M1184" i="1" s="1"/>
  <c r="E1185" i="1"/>
  <c r="I1185" i="1" s="1"/>
  <c r="K1185" i="1" s="1"/>
  <c r="M1185" i="1" s="1"/>
  <c r="E1186" i="1"/>
  <c r="I1186" i="1" s="1"/>
  <c r="K1186" i="1" s="1"/>
  <c r="M1186" i="1" s="1"/>
  <c r="E1187" i="1"/>
  <c r="I1187" i="1" s="1"/>
  <c r="K1187" i="1" s="1"/>
  <c r="M1187" i="1" s="1"/>
  <c r="E1188" i="1"/>
  <c r="I1188" i="1" s="1"/>
  <c r="K1188" i="1" s="1"/>
  <c r="M1188" i="1" s="1"/>
  <c r="E1189" i="1"/>
  <c r="I1189" i="1" s="1"/>
  <c r="K1189" i="1" s="1"/>
  <c r="M1189" i="1" s="1"/>
  <c r="E1179" i="1"/>
  <c r="I1179" i="1" s="1"/>
  <c r="E1180" i="1"/>
  <c r="I1180" i="1" s="1"/>
  <c r="K1180" i="1" s="1"/>
  <c r="M1180" i="1" s="1"/>
  <c r="E1178" i="1"/>
  <c r="I1178" i="1" s="1"/>
  <c r="K1178" i="1" s="1"/>
  <c r="M1178" i="1" s="1"/>
  <c r="C21" i="3"/>
  <c r="C33" i="3"/>
  <c r="C104" i="3"/>
  <c r="F105" i="3"/>
  <c r="C105" i="3" s="1"/>
  <c r="I506" i="2"/>
  <c r="C575" i="2"/>
  <c r="L1173" i="1"/>
  <c r="J1173" i="1"/>
  <c r="C1173" i="1"/>
  <c r="D1173" i="1"/>
  <c r="E1172" i="1"/>
  <c r="I1172" i="1" s="1"/>
  <c r="K1172" i="1" s="1"/>
  <c r="M1172" i="1" s="1"/>
  <c r="E1171" i="1"/>
  <c r="I1171" i="1" s="1"/>
  <c r="K1171" i="1" s="1"/>
  <c r="M1171" i="1" s="1"/>
  <c r="E1170" i="1"/>
  <c r="I1170" i="1" s="1"/>
  <c r="K1170" i="1" s="1"/>
  <c r="M1170" i="1" s="1"/>
  <c r="E1169" i="1"/>
  <c r="I1169" i="1" s="1"/>
  <c r="K1169" i="1" s="1"/>
  <c r="M1169" i="1" s="1"/>
  <c r="E1168" i="1"/>
  <c r="I1168" i="1" s="1"/>
  <c r="K1168" i="1" s="1"/>
  <c r="M1168" i="1" s="1"/>
  <c r="E1167" i="1"/>
  <c r="I1167" i="1" s="1"/>
  <c r="K1167" i="1" s="1"/>
  <c r="M1167" i="1" s="1"/>
  <c r="E1166" i="1"/>
  <c r="I1166" i="1" s="1"/>
  <c r="K1166" i="1" s="1"/>
  <c r="M1166" i="1" s="1"/>
  <c r="E1165" i="1"/>
  <c r="I1165" i="1" s="1"/>
  <c r="K1165" i="1" s="1"/>
  <c r="M1165" i="1" s="1"/>
  <c r="E1164" i="1"/>
  <c r="I1164" i="1" s="1"/>
  <c r="K1164" i="1" s="1"/>
  <c r="M1164" i="1" s="1"/>
  <c r="E1163" i="1"/>
  <c r="I1163" i="1" s="1"/>
  <c r="K1163" i="1" s="1"/>
  <c r="M1163" i="1" s="1"/>
  <c r="E1162" i="1"/>
  <c r="I1162" i="1" s="1"/>
  <c r="K1162" i="1" s="1"/>
  <c r="M1162" i="1" s="1"/>
  <c r="E1161" i="1"/>
  <c r="I1161" i="1" s="1"/>
  <c r="K1161" i="1" s="1"/>
  <c r="M1161" i="1" s="1"/>
  <c r="E1160" i="1"/>
  <c r="I1160" i="1" s="1"/>
  <c r="K1160" i="1" s="1"/>
  <c r="M1160" i="1" s="1"/>
  <c r="E1159" i="1"/>
  <c r="I1159" i="1" s="1"/>
  <c r="K1159" i="1" s="1"/>
  <c r="M1159" i="1" s="1"/>
  <c r="E1158" i="1"/>
  <c r="I1158" i="1" s="1"/>
  <c r="K1158" i="1" s="1"/>
  <c r="M1158" i="1" s="1"/>
  <c r="E1157" i="1"/>
  <c r="I1157" i="1" s="1"/>
  <c r="K1157" i="1" s="1"/>
  <c r="M1157" i="1" s="1"/>
  <c r="E1156" i="1"/>
  <c r="I1156" i="1" s="1"/>
  <c r="K1156" i="1" s="1"/>
  <c r="M1156" i="1" s="1"/>
  <c r="E1155" i="1"/>
  <c r="I1155" i="1" s="1"/>
  <c r="K1155" i="1" s="1"/>
  <c r="M1155" i="1" s="1"/>
  <c r="E1154" i="1"/>
  <c r="I1154" i="1" s="1"/>
  <c r="K1154" i="1" s="1"/>
  <c r="M1154" i="1" s="1"/>
  <c r="E1153" i="1"/>
  <c r="I1153" i="1" s="1"/>
  <c r="K1153" i="1" s="1"/>
  <c r="M1153" i="1" s="1"/>
  <c r="E1152" i="1"/>
  <c r="I1152" i="1" s="1"/>
  <c r="K1152" i="1" s="1"/>
  <c r="M1152" i="1" s="1"/>
  <c r="E1151" i="1"/>
  <c r="I1151" i="1" s="1"/>
  <c r="K1151" i="1" s="1"/>
  <c r="M1151" i="1" s="1"/>
  <c r="E1150" i="1"/>
  <c r="I1150" i="1" s="1"/>
  <c r="K1150" i="1" s="1"/>
  <c r="M1150" i="1" s="1"/>
  <c r="E1149" i="1"/>
  <c r="I1149" i="1" s="1"/>
  <c r="K1149" i="1" s="1"/>
  <c r="M1149" i="1" s="1"/>
  <c r="E1148" i="1"/>
  <c r="I1148" i="1" s="1"/>
  <c r="K1148" i="1" s="1"/>
  <c r="M1148" i="1" s="1"/>
  <c r="E1147" i="1"/>
  <c r="I1147" i="1" s="1"/>
  <c r="K1147" i="1" s="1"/>
  <c r="M1147" i="1" s="1"/>
  <c r="E1146" i="1"/>
  <c r="I1146" i="1" s="1"/>
  <c r="K1146" i="1" s="1"/>
  <c r="M1146" i="1" s="1"/>
  <c r="E1145" i="1"/>
  <c r="I1145" i="1" s="1"/>
  <c r="K1145" i="1" s="1"/>
  <c r="M1145" i="1" s="1"/>
  <c r="E1144" i="1"/>
  <c r="I1144" i="1" s="1"/>
  <c r="K1144" i="1" s="1"/>
  <c r="M1144" i="1" s="1"/>
  <c r="E1143" i="1"/>
  <c r="I1143" i="1" s="1"/>
  <c r="K1143" i="1" s="1"/>
  <c r="M1143" i="1" s="1"/>
  <c r="E1142" i="1"/>
  <c r="I1142" i="1" s="1"/>
  <c r="K1142" i="1" s="1"/>
  <c r="M1142" i="1" s="1"/>
  <c r="E1141" i="1"/>
  <c r="I1141" i="1" s="1"/>
  <c r="K1141" i="1" s="1"/>
  <c r="M1141" i="1" s="1"/>
  <c r="E1140" i="1"/>
  <c r="I1140" i="1" s="1"/>
  <c r="K1140" i="1" s="1"/>
  <c r="M1140" i="1" s="1"/>
  <c r="E1139" i="1"/>
  <c r="I1139" i="1" s="1"/>
  <c r="K1139" i="1" s="1"/>
  <c r="M1139" i="1" s="1"/>
  <c r="E1138" i="1"/>
  <c r="I1138" i="1" s="1"/>
  <c r="K1138" i="1" s="1"/>
  <c r="M1138" i="1" s="1"/>
  <c r="E1137" i="1"/>
  <c r="I1137" i="1" s="1"/>
  <c r="K1137" i="1" s="1"/>
  <c r="M1137" i="1" s="1"/>
  <c r="E1136" i="1"/>
  <c r="I1136" i="1" s="1"/>
  <c r="K1136" i="1" s="1"/>
  <c r="M1136" i="1" s="1"/>
  <c r="E1135" i="1"/>
  <c r="I1135" i="1" s="1"/>
  <c r="K1135" i="1" s="1"/>
  <c r="M1135" i="1" s="1"/>
  <c r="E1134" i="1"/>
  <c r="I1134" i="1" s="1"/>
  <c r="K1134" i="1" s="1"/>
  <c r="M1134" i="1" s="1"/>
  <c r="E1133" i="1"/>
  <c r="I1133" i="1" s="1"/>
  <c r="K1133" i="1" s="1"/>
  <c r="M1133" i="1" s="1"/>
  <c r="E1132" i="1"/>
  <c r="I1132" i="1" s="1"/>
  <c r="K1132" i="1" s="1"/>
  <c r="M1132" i="1" s="1"/>
  <c r="E1131" i="1"/>
  <c r="I1131" i="1" s="1"/>
  <c r="K1131" i="1" s="1"/>
  <c r="M1131" i="1" s="1"/>
  <c r="E1130" i="1"/>
  <c r="I1130" i="1" s="1"/>
  <c r="K1130" i="1" s="1"/>
  <c r="M1130" i="1" s="1"/>
  <c r="E1129" i="1"/>
  <c r="I1129" i="1" s="1"/>
  <c r="K1129" i="1" s="1"/>
  <c r="M1129" i="1" s="1"/>
  <c r="E1128" i="1"/>
  <c r="I1128" i="1" s="1"/>
  <c r="K1128" i="1" s="1"/>
  <c r="M1128" i="1" s="1"/>
  <c r="E1127" i="1"/>
  <c r="I1127" i="1" s="1"/>
  <c r="K1127" i="1" s="1"/>
  <c r="M1127" i="1" s="1"/>
  <c r="E1126" i="1"/>
  <c r="I1126" i="1" s="1"/>
  <c r="K1126" i="1" s="1"/>
  <c r="M1126" i="1" s="1"/>
  <c r="E1125" i="1"/>
  <c r="I1125" i="1" s="1"/>
  <c r="K1125" i="1" s="1"/>
  <c r="M1125" i="1" s="1"/>
  <c r="E1124" i="1"/>
  <c r="I1124" i="1" s="1"/>
  <c r="K1124" i="1" s="1"/>
  <c r="M1124" i="1" s="1"/>
  <c r="E1123" i="1"/>
  <c r="I1123" i="1" s="1"/>
  <c r="K1123" i="1" s="1"/>
  <c r="M1123" i="1" s="1"/>
  <c r="E1122" i="1"/>
  <c r="I1122" i="1" s="1"/>
  <c r="K1122" i="1" s="1"/>
  <c r="M1122" i="1" s="1"/>
  <c r="E1121" i="1"/>
  <c r="I1121" i="1" s="1"/>
  <c r="K1121" i="1" s="1"/>
  <c r="M1121" i="1" s="1"/>
  <c r="E1120" i="1"/>
  <c r="I1120" i="1" s="1"/>
  <c r="K1120" i="1" s="1"/>
  <c r="M1120" i="1" s="1"/>
  <c r="E1119" i="1"/>
  <c r="I1119" i="1" s="1"/>
  <c r="K1119" i="1" s="1"/>
  <c r="M1119" i="1" s="1"/>
  <c r="E1118" i="1"/>
  <c r="I1118" i="1" s="1"/>
  <c r="K1118" i="1" s="1"/>
  <c r="M1118" i="1" s="1"/>
  <c r="E1117" i="1"/>
  <c r="I1117" i="1" s="1"/>
  <c r="K1117" i="1" s="1"/>
  <c r="M1117" i="1" s="1"/>
  <c r="E1116" i="1"/>
  <c r="I1116" i="1" s="1"/>
  <c r="K1116" i="1" s="1"/>
  <c r="M1116" i="1" s="1"/>
  <c r="E1115" i="1"/>
  <c r="I1115" i="1" s="1"/>
  <c r="K1115" i="1" s="1"/>
  <c r="M1115" i="1" s="1"/>
  <c r="E1114" i="1"/>
  <c r="I1114" i="1" s="1"/>
  <c r="K1114" i="1" s="1"/>
  <c r="M1114" i="1" s="1"/>
  <c r="E1113" i="1"/>
  <c r="I1113" i="1" s="1"/>
  <c r="K1113" i="1" s="1"/>
  <c r="M1113" i="1" s="1"/>
  <c r="E1112" i="1"/>
  <c r="I1112" i="1" s="1"/>
  <c r="K1112" i="1" s="1"/>
  <c r="M1112" i="1" s="1"/>
  <c r="E1111" i="1"/>
  <c r="I1111" i="1" s="1"/>
  <c r="K1111" i="1" s="1"/>
  <c r="M1111" i="1" s="1"/>
  <c r="E1110" i="1"/>
  <c r="I1110" i="1" s="1"/>
  <c r="K1110" i="1" s="1"/>
  <c r="M1110" i="1" s="1"/>
  <c r="E1109" i="1"/>
  <c r="I1109" i="1" s="1"/>
  <c r="K1109" i="1" s="1"/>
  <c r="M1109" i="1" s="1"/>
  <c r="E1108" i="1"/>
  <c r="I1108" i="1" s="1"/>
  <c r="K1108" i="1" s="1"/>
  <c r="M1108" i="1" s="1"/>
  <c r="E1107" i="1"/>
  <c r="I1107" i="1" s="1"/>
  <c r="K1107" i="1" s="1"/>
  <c r="M1107" i="1" s="1"/>
  <c r="E1106" i="1"/>
  <c r="I1106" i="1" s="1"/>
  <c r="K1106" i="1" s="1"/>
  <c r="M1106" i="1" s="1"/>
  <c r="E1105" i="1"/>
  <c r="I1105" i="1" s="1"/>
  <c r="K1105" i="1" s="1"/>
  <c r="M1105" i="1" s="1"/>
  <c r="E1104" i="1"/>
  <c r="I1104" i="1" s="1"/>
  <c r="K1104" i="1" s="1"/>
  <c r="M1104" i="1" s="1"/>
  <c r="E1103" i="1"/>
  <c r="I1103" i="1" s="1"/>
  <c r="K1103" i="1" s="1"/>
  <c r="M1103" i="1" s="1"/>
  <c r="E1102" i="1"/>
  <c r="I1102" i="1" s="1"/>
  <c r="K1102" i="1" s="1"/>
  <c r="M1102" i="1" s="1"/>
  <c r="E1101" i="1"/>
  <c r="I1101" i="1" s="1"/>
  <c r="K1101" i="1" s="1"/>
  <c r="M1101" i="1" s="1"/>
  <c r="E1100" i="1"/>
  <c r="I1100" i="1" s="1"/>
  <c r="K1100" i="1" s="1"/>
  <c r="M1100" i="1" s="1"/>
  <c r="E1099" i="1"/>
  <c r="I1099" i="1" s="1"/>
  <c r="K1099" i="1" s="1"/>
  <c r="M1099" i="1" s="1"/>
  <c r="K1179" i="1" l="1"/>
  <c r="M1179" i="1" s="1"/>
  <c r="M1240" i="1" s="1"/>
  <c r="I1240" i="1"/>
  <c r="E1240" i="1"/>
  <c r="B35" i="5"/>
  <c r="C35" i="5"/>
  <c r="K1240" i="1" l="1"/>
  <c r="E1098" i="1"/>
  <c r="I1098" i="1" s="1"/>
  <c r="K1098" i="1" s="1"/>
  <c r="M1098" i="1" s="1"/>
  <c r="E1097" i="1"/>
  <c r="I1097" i="1" s="1"/>
  <c r="K1097" i="1" s="1"/>
  <c r="M1097" i="1" s="1"/>
  <c r="E1096" i="1"/>
  <c r="I1096" i="1" s="1"/>
  <c r="K1096" i="1" s="1"/>
  <c r="M1096" i="1" s="1"/>
  <c r="E1095" i="1" l="1"/>
  <c r="I1095" i="1" s="1"/>
  <c r="K1095" i="1" s="1"/>
  <c r="M1095" i="1" s="1"/>
  <c r="E1094" i="1"/>
  <c r="I1094" i="1" s="1"/>
  <c r="K1094" i="1" s="1"/>
  <c r="M1094" i="1" s="1"/>
  <c r="E1093" i="1"/>
  <c r="I1093" i="1" s="1"/>
  <c r="K1093" i="1" s="1"/>
  <c r="M1093" i="1" s="1"/>
  <c r="E1092" i="1"/>
  <c r="I1092" i="1" s="1"/>
  <c r="K1092" i="1" s="1"/>
  <c r="M1092" i="1" s="1"/>
  <c r="E1091" i="1"/>
  <c r="I1091" i="1" s="1"/>
  <c r="K1091" i="1" s="1"/>
  <c r="M1091" i="1" s="1"/>
  <c r="E1090" i="1"/>
  <c r="I1090" i="1" s="1"/>
  <c r="K1090" i="1" s="1"/>
  <c r="M1090" i="1" s="1"/>
  <c r="E1089" i="1"/>
  <c r="I1089" i="1" s="1"/>
  <c r="K1089" i="1" s="1"/>
  <c r="M1089" i="1" s="1"/>
  <c r="E1088" i="1"/>
  <c r="I1088" i="1" s="1"/>
  <c r="K1088" i="1" s="1"/>
  <c r="M1088" i="1" s="1"/>
  <c r="E1087" i="1"/>
  <c r="I1087" i="1" s="1"/>
  <c r="K1087" i="1" s="1"/>
  <c r="M1087" i="1" s="1"/>
  <c r="E1086" i="1"/>
  <c r="I1086" i="1" s="1"/>
  <c r="K1086" i="1" s="1"/>
  <c r="M1086" i="1" s="1"/>
  <c r="E1085" i="1"/>
  <c r="I1085" i="1" s="1"/>
  <c r="K1085" i="1" s="1"/>
  <c r="M1085" i="1" s="1"/>
  <c r="E1084" i="1"/>
  <c r="I1084" i="1" s="1"/>
  <c r="K1084" i="1" s="1"/>
  <c r="M1084" i="1" s="1"/>
  <c r="E1083" i="1"/>
  <c r="I1083" i="1" s="1"/>
  <c r="K1083" i="1" s="1"/>
  <c r="M1083" i="1" s="1"/>
  <c r="E1082" i="1"/>
  <c r="I1082" i="1" s="1"/>
  <c r="K1082" i="1" s="1"/>
  <c r="M1082" i="1" s="1"/>
  <c r="E1081" i="1"/>
  <c r="I1081" i="1" s="1"/>
  <c r="K1081" i="1" s="1"/>
  <c r="M1081" i="1" s="1"/>
  <c r="E1080" i="1"/>
  <c r="I1080" i="1" s="1"/>
  <c r="K1080" i="1" s="1"/>
  <c r="M1080" i="1" s="1"/>
  <c r="E1079" i="1"/>
  <c r="I1079" i="1" s="1"/>
  <c r="K1079" i="1" s="1"/>
  <c r="M1079" i="1" s="1"/>
  <c r="E1078" i="1"/>
  <c r="I1078" i="1" s="1"/>
  <c r="K1078" i="1" s="1"/>
  <c r="M1078" i="1" s="1"/>
  <c r="E1077" i="1"/>
  <c r="I1077" i="1" s="1"/>
  <c r="K1077" i="1" s="1"/>
  <c r="M1077" i="1" s="1"/>
  <c r="E1076" i="1"/>
  <c r="I1076" i="1" s="1"/>
  <c r="K1076" i="1" s="1"/>
  <c r="M1076" i="1" s="1"/>
  <c r="E1075" i="1"/>
  <c r="I1075" i="1" s="1"/>
  <c r="K1075" i="1" s="1"/>
  <c r="M1075" i="1" s="1"/>
  <c r="E1074" i="1"/>
  <c r="I1074" i="1" s="1"/>
  <c r="K1074" i="1" s="1"/>
  <c r="M1074" i="1" s="1"/>
  <c r="E1073" i="1"/>
  <c r="I1073" i="1" s="1"/>
  <c r="K1073" i="1" s="1"/>
  <c r="M1073" i="1" s="1"/>
  <c r="E1072" i="1"/>
  <c r="I1072" i="1" s="1"/>
  <c r="K1072" i="1" s="1"/>
  <c r="M1072" i="1" s="1"/>
  <c r="E1071" i="1"/>
  <c r="I1071" i="1" s="1"/>
  <c r="K1071" i="1" s="1"/>
  <c r="M1071" i="1" s="1"/>
  <c r="E1070" i="1"/>
  <c r="I1070" i="1" s="1"/>
  <c r="K1070" i="1" s="1"/>
  <c r="M1070" i="1" s="1"/>
  <c r="E1069" i="1"/>
  <c r="I1069" i="1" s="1"/>
  <c r="K1069" i="1" s="1"/>
  <c r="M1069" i="1" s="1"/>
  <c r="E1068" i="1"/>
  <c r="I1068" i="1" s="1"/>
  <c r="K1068" i="1" s="1"/>
  <c r="M1068" i="1" s="1"/>
  <c r="E1067" i="1"/>
  <c r="I1067" i="1" s="1"/>
  <c r="K1067" i="1" s="1"/>
  <c r="M1067" i="1" s="1"/>
  <c r="E1066" i="1"/>
  <c r="I1066" i="1" s="1"/>
  <c r="K1066" i="1" s="1"/>
  <c r="M1066" i="1" s="1"/>
  <c r="E1065" i="1"/>
  <c r="I1065" i="1" s="1"/>
  <c r="K1065" i="1" s="1"/>
  <c r="M1065" i="1" s="1"/>
  <c r="E1064" i="1"/>
  <c r="I1064" i="1" s="1"/>
  <c r="K1064" i="1" s="1"/>
  <c r="M1064" i="1" s="1"/>
  <c r="E1063" i="1"/>
  <c r="I1063" i="1" s="1"/>
  <c r="K1063" i="1" s="1"/>
  <c r="M1063" i="1" s="1"/>
  <c r="E1062" i="1"/>
  <c r="I1062" i="1" s="1"/>
  <c r="K1062" i="1" s="1"/>
  <c r="M1062" i="1" s="1"/>
  <c r="E1061" i="1"/>
  <c r="I1061" i="1" s="1"/>
  <c r="K1061" i="1" s="1"/>
  <c r="M1061" i="1" s="1"/>
  <c r="E1060" i="1"/>
  <c r="I1060" i="1" s="1"/>
  <c r="K1060" i="1" s="1"/>
  <c r="M1060" i="1" s="1"/>
  <c r="E1059" i="1"/>
  <c r="I1059" i="1" s="1"/>
  <c r="K1059" i="1" s="1"/>
  <c r="M1059" i="1" s="1"/>
  <c r="E1058" i="1"/>
  <c r="I1058" i="1" s="1"/>
  <c r="K1058" i="1" s="1"/>
  <c r="M1058" i="1" s="1"/>
  <c r="E1057" i="1"/>
  <c r="I1057" i="1" s="1"/>
  <c r="K1057" i="1" s="1"/>
  <c r="M1057" i="1" s="1"/>
  <c r="E1056" i="1"/>
  <c r="I1056" i="1" s="1"/>
  <c r="K1056" i="1" s="1"/>
  <c r="M1056" i="1" s="1"/>
  <c r="E1055" i="1"/>
  <c r="I1055" i="1" s="1"/>
  <c r="K1055" i="1" s="1"/>
  <c r="M1055" i="1" s="1"/>
  <c r="E1054" i="1"/>
  <c r="I1054" i="1" s="1"/>
  <c r="K1054" i="1" s="1"/>
  <c r="M1054" i="1" s="1"/>
  <c r="E1053" i="1"/>
  <c r="I1053" i="1" s="1"/>
  <c r="K1053" i="1" s="1"/>
  <c r="M1053" i="1" s="1"/>
  <c r="E1052" i="1"/>
  <c r="I1052" i="1" s="1"/>
  <c r="K1052" i="1" s="1"/>
  <c r="M1052" i="1" s="1"/>
  <c r="E1051" i="1"/>
  <c r="I1051" i="1" s="1"/>
  <c r="K1051" i="1" s="1"/>
  <c r="M1051" i="1" s="1"/>
  <c r="E1050" i="1"/>
  <c r="I1050" i="1" s="1"/>
  <c r="K1050" i="1" s="1"/>
  <c r="M1050" i="1" s="1"/>
  <c r="E1049" i="1"/>
  <c r="I1049" i="1" s="1"/>
  <c r="K1049" i="1" s="1"/>
  <c r="M1049" i="1" s="1"/>
  <c r="E1048" i="1" l="1"/>
  <c r="I1048" i="1" s="1"/>
  <c r="K1048" i="1" s="1"/>
  <c r="M1048" i="1" s="1"/>
  <c r="E1047" i="1"/>
  <c r="I1047" i="1" s="1"/>
  <c r="K1047" i="1" s="1"/>
  <c r="M1047" i="1" s="1"/>
  <c r="E1046" i="1"/>
  <c r="I1046" i="1" s="1"/>
  <c r="K1046" i="1" s="1"/>
  <c r="M1046" i="1" s="1"/>
  <c r="E1045" i="1"/>
  <c r="I1045" i="1" s="1"/>
  <c r="K1045" i="1" s="1"/>
  <c r="M1045" i="1" s="1"/>
  <c r="E1044" i="1"/>
  <c r="I1044" i="1" s="1"/>
  <c r="K1044" i="1" s="1"/>
  <c r="M1044" i="1" s="1"/>
  <c r="E1043" i="1"/>
  <c r="I1043" i="1" s="1"/>
  <c r="K1043" i="1" s="1"/>
  <c r="M1043" i="1" s="1"/>
  <c r="E1042" i="1"/>
  <c r="I1042" i="1" s="1"/>
  <c r="K1042" i="1" s="1"/>
  <c r="M1042" i="1" s="1"/>
  <c r="E1041" i="1"/>
  <c r="I1041" i="1" s="1"/>
  <c r="K1041" i="1" s="1"/>
  <c r="M1041" i="1" s="1"/>
  <c r="E1040" i="1"/>
  <c r="I1040" i="1" s="1"/>
  <c r="K1040" i="1" s="1"/>
  <c r="M1040" i="1" s="1"/>
  <c r="E1039" i="1"/>
  <c r="I1039" i="1" s="1"/>
  <c r="K1039" i="1" s="1"/>
  <c r="M1039" i="1" s="1"/>
  <c r="E1038" i="1"/>
  <c r="I1038" i="1" s="1"/>
  <c r="K1038" i="1" s="1"/>
  <c r="M1038" i="1" s="1"/>
  <c r="E1037" i="1"/>
  <c r="I1037" i="1" s="1"/>
  <c r="K1037" i="1" s="1"/>
  <c r="M1037" i="1" s="1"/>
  <c r="E1036" i="1"/>
  <c r="I1036" i="1" s="1"/>
  <c r="K1036" i="1" s="1"/>
  <c r="M1036" i="1" s="1"/>
  <c r="E1035" i="1"/>
  <c r="I1035" i="1" s="1"/>
  <c r="K1035" i="1" s="1"/>
  <c r="M1035" i="1" s="1"/>
  <c r="E1034" i="1"/>
  <c r="I1034" i="1" s="1"/>
  <c r="K1034" i="1" s="1"/>
  <c r="M1034" i="1" s="1"/>
  <c r="E1033" i="1"/>
  <c r="I1033" i="1" s="1"/>
  <c r="K1033" i="1" s="1"/>
  <c r="M1033" i="1" s="1"/>
  <c r="E1032" i="1"/>
  <c r="I1032" i="1" s="1"/>
  <c r="K1032" i="1" s="1"/>
  <c r="M1032" i="1" s="1"/>
  <c r="E1031" i="1"/>
  <c r="I1031" i="1" s="1"/>
  <c r="K1031" i="1" s="1"/>
  <c r="M1031" i="1" s="1"/>
  <c r="E1030" i="1"/>
  <c r="I1030" i="1" s="1"/>
  <c r="K1030" i="1" s="1"/>
  <c r="M1030" i="1" s="1"/>
  <c r="E1029" i="1"/>
  <c r="I1029" i="1" s="1"/>
  <c r="K1029" i="1" s="1"/>
  <c r="M1029" i="1" s="1"/>
  <c r="E1028" i="1"/>
  <c r="I1028" i="1" s="1"/>
  <c r="K1028" i="1" s="1"/>
  <c r="M1028" i="1" s="1"/>
  <c r="E1027" i="1"/>
  <c r="I1027" i="1" s="1"/>
  <c r="K1027" i="1" s="1"/>
  <c r="M1027" i="1" s="1"/>
  <c r="E1026" i="1"/>
  <c r="I1026" i="1" s="1"/>
  <c r="K1026" i="1" s="1"/>
  <c r="M1026" i="1" s="1"/>
  <c r="E1025" i="1"/>
  <c r="I1025" i="1" s="1"/>
  <c r="K1025" i="1" s="1"/>
  <c r="M1025" i="1" s="1"/>
  <c r="E1024" i="1"/>
  <c r="I1024" i="1" s="1"/>
  <c r="K1024" i="1" s="1"/>
  <c r="M1024" i="1" s="1"/>
  <c r="E1023" i="1"/>
  <c r="I1023" i="1" s="1"/>
  <c r="K1023" i="1" s="1"/>
  <c r="M1023" i="1" s="1"/>
  <c r="E1020" i="1"/>
  <c r="I1020" i="1" s="1"/>
  <c r="K1020" i="1" s="1"/>
  <c r="M1020" i="1" s="1"/>
  <c r="E1021" i="1"/>
  <c r="I1021" i="1" s="1"/>
  <c r="K1021" i="1" s="1"/>
  <c r="M1021" i="1" s="1"/>
  <c r="E1022" i="1"/>
  <c r="I1022" i="1" s="1"/>
  <c r="K1022" i="1" s="1"/>
  <c r="M1022" i="1" s="1"/>
  <c r="E1019" i="1"/>
  <c r="I1019" i="1" s="1"/>
  <c r="I447" i="2"/>
  <c r="F93" i="3"/>
  <c r="C93" i="3" s="1"/>
  <c r="C92" i="3" s="1"/>
  <c r="C496" i="2"/>
  <c r="F81" i="3"/>
  <c r="C81" i="3" s="1"/>
  <c r="C80" i="3" s="1"/>
  <c r="I427" i="2"/>
  <c r="C425" i="2"/>
  <c r="C436" i="2" s="1"/>
  <c r="E1173" i="1" l="1"/>
  <c r="K1019" i="1"/>
  <c r="I1173" i="1"/>
  <c r="C57" i="4"/>
  <c r="L1014" i="1"/>
  <c r="J1014" i="1"/>
  <c r="H1014" i="1"/>
  <c r="D1014" i="1"/>
  <c r="C1014" i="1"/>
  <c r="E1013" i="1"/>
  <c r="I1013" i="1" s="1"/>
  <c r="K1013" i="1" s="1"/>
  <c r="M1013" i="1" s="1"/>
  <c r="E1012" i="1"/>
  <c r="I1012" i="1" s="1"/>
  <c r="K1012" i="1" s="1"/>
  <c r="M1012" i="1" s="1"/>
  <c r="E1011" i="1"/>
  <c r="I1011" i="1" s="1"/>
  <c r="K1011" i="1" s="1"/>
  <c r="M1011" i="1" s="1"/>
  <c r="E1010" i="1"/>
  <c r="I1010" i="1" s="1"/>
  <c r="K1010" i="1" s="1"/>
  <c r="M1010" i="1" s="1"/>
  <c r="E1009" i="1"/>
  <c r="I1009" i="1" s="1"/>
  <c r="K1009" i="1" s="1"/>
  <c r="M1009" i="1" s="1"/>
  <c r="E1008" i="1"/>
  <c r="I1008" i="1" s="1"/>
  <c r="K1008" i="1" s="1"/>
  <c r="M1008" i="1" s="1"/>
  <c r="E1007" i="1"/>
  <c r="I1007" i="1" s="1"/>
  <c r="K1007" i="1" s="1"/>
  <c r="M1007" i="1" s="1"/>
  <c r="E1006" i="1"/>
  <c r="I1006" i="1" s="1"/>
  <c r="K1006" i="1" s="1"/>
  <c r="M1006" i="1" s="1"/>
  <c r="E1005" i="1"/>
  <c r="I1005" i="1" s="1"/>
  <c r="K1005" i="1" s="1"/>
  <c r="M1005" i="1" s="1"/>
  <c r="E1004" i="1"/>
  <c r="I1004" i="1" s="1"/>
  <c r="K1004" i="1" s="1"/>
  <c r="M1004" i="1" s="1"/>
  <c r="E1003" i="1"/>
  <c r="I1003" i="1" s="1"/>
  <c r="K1003" i="1" s="1"/>
  <c r="M1003" i="1" s="1"/>
  <c r="E1002" i="1"/>
  <c r="I1002" i="1" s="1"/>
  <c r="K1002" i="1" s="1"/>
  <c r="M1002" i="1" s="1"/>
  <c r="E1001" i="1"/>
  <c r="I1001" i="1" s="1"/>
  <c r="K1001" i="1" s="1"/>
  <c r="M1001" i="1" s="1"/>
  <c r="E1000" i="1"/>
  <c r="I1000" i="1" s="1"/>
  <c r="K1000" i="1" s="1"/>
  <c r="M1000" i="1" s="1"/>
  <c r="E999" i="1"/>
  <c r="I999" i="1" s="1"/>
  <c r="K999" i="1" s="1"/>
  <c r="M999" i="1" s="1"/>
  <c r="E998" i="1"/>
  <c r="I998" i="1" s="1"/>
  <c r="K998" i="1" s="1"/>
  <c r="M998" i="1" s="1"/>
  <c r="E997" i="1"/>
  <c r="I997" i="1" s="1"/>
  <c r="K997" i="1" s="1"/>
  <c r="M997" i="1" s="1"/>
  <c r="E996" i="1"/>
  <c r="I996" i="1" s="1"/>
  <c r="K996" i="1" s="1"/>
  <c r="M996" i="1" s="1"/>
  <c r="E995" i="1"/>
  <c r="I995" i="1" s="1"/>
  <c r="K995" i="1" s="1"/>
  <c r="M995" i="1" s="1"/>
  <c r="E994" i="1"/>
  <c r="I994" i="1" s="1"/>
  <c r="K994" i="1" s="1"/>
  <c r="M994" i="1" s="1"/>
  <c r="E993" i="1"/>
  <c r="I993" i="1" s="1"/>
  <c r="K993" i="1" s="1"/>
  <c r="M993" i="1" s="1"/>
  <c r="E992" i="1"/>
  <c r="I992" i="1" s="1"/>
  <c r="K992" i="1" s="1"/>
  <c r="M992" i="1" s="1"/>
  <c r="E991" i="1"/>
  <c r="I991" i="1" s="1"/>
  <c r="K991" i="1" s="1"/>
  <c r="M991" i="1" s="1"/>
  <c r="E990" i="1"/>
  <c r="I990" i="1" s="1"/>
  <c r="K990" i="1" s="1"/>
  <c r="M990" i="1" s="1"/>
  <c r="E989" i="1"/>
  <c r="I989" i="1" s="1"/>
  <c r="K989" i="1" s="1"/>
  <c r="M989" i="1" s="1"/>
  <c r="E988" i="1"/>
  <c r="I988" i="1" s="1"/>
  <c r="K988" i="1" s="1"/>
  <c r="M988" i="1" s="1"/>
  <c r="E987" i="1"/>
  <c r="I987" i="1" s="1"/>
  <c r="K987" i="1" s="1"/>
  <c r="M987" i="1" s="1"/>
  <c r="E986" i="1"/>
  <c r="I986" i="1" s="1"/>
  <c r="K986" i="1" s="1"/>
  <c r="M986" i="1" s="1"/>
  <c r="E985" i="1"/>
  <c r="I985" i="1" s="1"/>
  <c r="K985" i="1" s="1"/>
  <c r="M985" i="1" s="1"/>
  <c r="E984" i="1"/>
  <c r="I984" i="1" s="1"/>
  <c r="K984" i="1" s="1"/>
  <c r="M984" i="1" s="1"/>
  <c r="E983" i="1"/>
  <c r="I983" i="1" s="1"/>
  <c r="K983" i="1" s="1"/>
  <c r="M983" i="1" s="1"/>
  <c r="E982" i="1"/>
  <c r="I982" i="1" s="1"/>
  <c r="K982" i="1" s="1"/>
  <c r="M982" i="1" s="1"/>
  <c r="E981" i="1"/>
  <c r="I981" i="1" s="1"/>
  <c r="K981" i="1" s="1"/>
  <c r="M981" i="1" s="1"/>
  <c r="E980" i="1"/>
  <c r="I980" i="1" s="1"/>
  <c r="K980" i="1" s="1"/>
  <c r="M980" i="1" s="1"/>
  <c r="E979" i="1"/>
  <c r="I979" i="1" s="1"/>
  <c r="K979" i="1" s="1"/>
  <c r="M979" i="1" s="1"/>
  <c r="E978" i="1"/>
  <c r="I978" i="1" s="1"/>
  <c r="K978" i="1" s="1"/>
  <c r="M978" i="1" s="1"/>
  <c r="E977" i="1"/>
  <c r="I977" i="1" s="1"/>
  <c r="K977" i="1" s="1"/>
  <c r="M977" i="1" s="1"/>
  <c r="E976" i="1"/>
  <c r="I976" i="1" s="1"/>
  <c r="K976" i="1" s="1"/>
  <c r="M976" i="1" s="1"/>
  <c r="E975" i="1"/>
  <c r="I975" i="1" s="1"/>
  <c r="K975" i="1" s="1"/>
  <c r="M975" i="1" s="1"/>
  <c r="E974" i="1"/>
  <c r="I974" i="1" s="1"/>
  <c r="K974" i="1" s="1"/>
  <c r="M974" i="1" s="1"/>
  <c r="E973" i="1"/>
  <c r="I973" i="1" s="1"/>
  <c r="K973" i="1" s="1"/>
  <c r="M973" i="1" s="1"/>
  <c r="E972" i="1"/>
  <c r="I972" i="1" s="1"/>
  <c r="K972" i="1" s="1"/>
  <c r="M972" i="1" s="1"/>
  <c r="E971" i="1"/>
  <c r="I971" i="1" s="1"/>
  <c r="K971" i="1" s="1"/>
  <c r="M971" i="1" s="1"/>
  <c r="E970" i="1"/>
  <c r="I970" i="1" s="1"/>
  <c r="K970" i="1" s="1"/>
  <c r="M970" i="1" s="1"/>
  <c r="E969" i="1"/>
  <c r="I969" i="1" s="1"/>
  <c r="K969" i="1" s="1"/>
  <c r="M969" i="1" s="1"/>
  <c r="E968" i="1"/>
  <c r="I968" i="1" s="1"/>
  <c r="K968" i="1" s="1"/>
  <c r="M968" i="1" s="1"/>
  <c r="E967" i="1"/>
  <c r="I967" i="1" s="1"/>
  <c r="K967" i="1" s="1"/>
  <c r="M967" i="1" s="1"/>
  <c r="E966" i="1"/>
  <c r="I966" i="1" s="1"/>
  <c r="K966" i="1" s="1"/>
  <c r="M966" i="1" s="1"/>
  <c r="E965" i="1"/>
  <c r="I965" i="1" s="1"/>
  <c r="K965" i="1" s="1"/>
  <c r="M965" i="1" s="1"/>
  <c r="E964" i="1"/>
  <c r="I964" i="1" s="1"/>
  <c r="K964" i="1" s="1"/>
  <c r="M964" i="1" s="1"/>
  <c r="E963" i="1"/>
  <c r="I963" i="1" s="1"/>
  <c r="K963" i="1" s="1"/>
  <c r="M963" i="1" s="1"/>
  <c r="M1019" i="1" l="1"/>
  <c r="M1173" i="1" s="1"/>
  <c r="K1173" i="1"/>
  <c r="E962" i="1"/>
  <c r="I962" i="1" s="1"/>
  <c r="K962" i="1" s="1"/>
  <c r="M962" i="1" s="1"/>
  <c r="E961" i="1"/>
  <c r="I961" i="1" s="1"/>
  <c r="K961" i="1" s="1"/>
  <c r="M961" i="1" s="1"/>
  <c r="E960" i="1"/>
  <c r="I960" i="1" s="1"/>
  <c r="K960" i="1" s="1"/>
  <c r="M960" i="1" s="1"/>
  <c r="E959" i="1"/>
  <c r="I959" i="1" s="1"/>
  <c r="K959" i="1" s="1"/>
  <c r="M959" i="1" s="1"/>
  <c r="E958" i="1"/>
  <c r="I958" i="1" s="1"/>
  <c r="K958" i="1" s="1"/>
  <c r="M958" i="1" s="1"/>
  <c r="E957" i="1"/>
  <c r="I957" i="1" s="1"/>
  <c r="K957" i="1" s="1"/>
  <c r="M957" i="1" s="1"/>
  <c r="E956" i="1"/>
  <c r="I956" i="1" s="1"/>
  <c r="K956" i="1" s="1"/>
  <c r="M956" i="1" s="1"/>
  <c r="E955" i="1"/>
  <c r="I955" i="1" s="1"/>
  <c r="K955" i="1" s="1"/>
  <c r="M955" i="1" s="1"/>
  <c r="E954" i="1"/>
  <c r="I954" i="1" s="1"/>
  <c r="K954" i="1" s="1"/>
  <c r="M954" i="1" s="1"/>
  <c r="E953" i="1"/>
  <c r="I953" i="1" s="1"/>
  <c r="K953" i="1" s="1"/>
  <c r="M953" i="1" s="1"/>
  <c r="E952" i="1"/>
  <c r="I952" i="1" s="1"/>
  <c r="K952" i="1" s="1"/>
  <c r="M952" i="1" s="1"/>
  <c r="E951" i="1" l="1"/>
  <c r="I951" i="1" s="1"/>
  <c r="K951" i="1" s="1"/>
  <c r="M951" i="1" s="1"/>
  <c r="E950" i="1"/>
  <c r="I950" i="1" s="1"/>
  <c r="K950" i="1" s="1"/>
  <c r="M950" i="1" s="1"/>
  <c r="E949" i="1"/>
  <c r="I949" i="1" s="1"/>
  <c r="K949" i="1" s="1"/>
  <c r="M949" i="1" s="1"/>
  <c r="I943" i="1"/>
  <c r="K943" i="1" s="1"/>
  <c r="M943" i="1" s="1"/>
  <c r="E948" i="1"/>
  <c r="I948" i="1" s="1"/>
  <c r="K948" i="1" s="1"/>
  <c r="M948" i="1" s="1"/>
  <c r="E947" i="1"/>
  <c r="I947" i="1" s="1"/>
  <c r="K947" i="1" s="1"/>
  <c r="M947" i="1" s="1"/>
  <c r="E946" i="1"/>
  <c r="I946" i="1" s="1"/>
  <c r="K946" i="1" s="1"/>
  <c r="M946" i="1" s="1"/>
  <c r="E945" i="1"/>
  <c r="I945" i="1" s="1"/>
  <c r="K945" i="1" s="1"/>
  <c r="M945" i="1" s="1"/>
  <c r="E944" i="1"/>
  <c r="I944" i="1" s="1"/>
  <c r="K944" i="1" s="1"/>
  <c r="M944" i="1" s="1"/>
  <c r="E943" i="1"/>
  <c r="E942" i="1"/>
  <c r="I942" i="1" s="1"/>
  <c r="K942" i="1" s="1"/>
  <c r="M942" i="1" s="1"/>
  <c r="E941" i="1"/>
  <c r="I941" i="1" s="1"/>
  <c r="K941" i="1" s="1"/>
  <c r="M941" i="1" s="1"/>
  <c r="E940" i="1"/>
  <c r="I940" i="1" s="1"/>
  <c r="K940" i="1" s="1"/>
  <c r="M940" i="1" s="1"/>
  <c r="E939" i="1"/>
  <c r="I939" i="1" s="1"/>
  <c r="K939" i="1" s="1"/>
  <c r="M939" i="1" s="1"/>
  <c r="I937" i="1"/>
  <c r="K937" i="1" s="1"/>
  <c r="M937" i="1" s="1"/>
  <c r="E938" i="1"/>
  <c r="I938" i="1" s="1"/>
  <c r="K938" i="1" s="1"/>
  <c r="M938" i="1" s="1"/>
  <c r="E937" i="1"/>
  <c r="E936" i="1"/>
  <c r="I936" i="1" s="1"/>
  <c r="K936" i="1" s="1"/>
  <c r="M936" i="1" s="1"/>
  <c r="E935" i="1"/>
  <c r="I935" i="1" s="1"/>
  <c r="K935" i="1" s="1"/>
  <c r="M935" i="1" s="1"/>
  <c r="E934" i="1"/>
  <c r="I934" i="1" s="1"/>
  <c r="K934" i="1" s="1"/>
  <c r="M934" i="1" s="1"/>
  <c r="E933" i="1"/>
  <c r="I933" i="1" s="1"/>
  <c r="K933" i="1" s="1"/>
  <c r="M933" i="1" s="1"/>
  <c r="E932" i="1"/>
  <c r="I932" i="1" s="1"/>
  <c r="K932" i="1" s="1"/>
  <c r="M932" i="1" s="1"/>
  <c r="E931" i="1"/>
  <c r="I931" i="1" s="1"/>
  <c r="K931" i="1" s="1"/>
  <c r="M931" i="1" s="1"/>
  <c r="E930" i="1"/>
  <c r="I930" i="1" s="1"/>
  <c r="K930" i="1" s="1"/>
  <c r="M930" i="1" s="1"/>
  <c r="E929" i="1"/>
  <c r="I929" i="1" s="1"/>
  <c r="K929" i="1" s="1"/>
  <c r="M929" i="1" s="1"/>
  <c r="E928" i="1"/>
  <c r="I928" i="1" s="1"/>
  <c r="K928" i="1" s="1"/>
  <c r="M928" i="1" s="1"/>
  <c r="E927" i="1"/>
  <c r="I927" i="1" s="1"/>
  <c r="K927" i="1" s="1"/>
  <c r="M927" i="1" s="1"/>
  <c r="E926" i="1"/>
  <c r="I926" i="1" s="1"/>
  <c r="K926" i="1" s="1"/>
  <c r="M926" i="1" s="1"/>
  <c r="E925" i="1"/>
  <c r="I925" i="1" s="1"/>
  <c r="K925" i="1" s="1"/>
  <c r="M925" i="1" s="1"/>
  <c r="E924" i="1"/>
  <c r="I924" i="1" s="1"/>
  <c r="K924" i="1" s="1"/>
  <c r="M924" i="1" s="1"/>
  <c r="E923" i="1"/>
  <c r="I923" i="1" s="1"/>
  <c r="K923" i="1" s="1"/>
  <c r="M923" i="1" s="1"/>
  <c r="E922" i="1"/>
  <c r="I922" i="1" s="1"/>
  <c r="K922" i="1" s="1"/>
  <c r="M922" i="1" s="1"/>
  <c r="E921" i="1"/>
  <c r="I921" i="1" s="1"/>
  <c r="K921" i="1" s="1"/>
  <c r="M921" i="1" s="1"/>
  <c r="E920" i="1"/>
  <c r="I920" i="1" s="1"/>
  <c r="K920" i="1" s="1"/>
  <c r="M920" i="1" s="1"/>
  <c r="E919" i="1"/>
  <c r="I919" i="1" l="1"/>
  <c r="E1014" i="1"/>
  <c r="E913" i="1"/>
  <c r="I913" i="1" s="1"/>
  <c r="K913" i="1" s="1"/>
  <c r="M913" i="1" s="1"/>
  <c r="E912" i="1"/>
  <c r="I912" i="1" s="1"/>
  <c r="K912" i="1" s="1"/>
  <c r="M912" i="1" s="1"/>
  <c r="E911" i="1"/>
  <c r="I911" i="1" s="1"/>
  <c r="K911" i="1" s="1"/>
  <c r="M911" i="1" s="1"/>
  <c r="E910" i="1"/>
  <c r="I910" i="1" s="1"/>
  <c r="K910" i="1" s="1"/>
  <c r="M910" i="1" s="1"/>
  <c r="E909" i="1"/>
  <c r="I909" i="1" s="1"/>
  <c r="K909" i="1" s="1"/>
  <c r="M909" i="1" s="1"/>
  <c r="E908" i="1"/>
  <c r="I908" i="1" s="1"/>
  <c r="K908" i="1" s="1"/>
  <c r="M908" i="1" s="1"/>
  <c r="E907" i="1"/>
  <c r="I907" i="1" s="1"/>
  <c r="K907" i="1" s="1"/>
  <c r="M907" i="1" s="1"/>
  <c r="E906" i="1"/>
  <c r="I906" i="1" s="1"/>
  <c r="K906" i="1" s="1"/>
  <c r="M906" i="1" s="1"/>
  <c r="E905" i="1"/>
  <c r="I905" i="1" s="1"/>
  <c r="K905" i="1" s="1"/>
  <c r="M905" i="1" s="1"/>
  <c r="E904" i="1"/>
  <c r="I904" i="1" s="1"/>
  <c r="K904" i="1" s="1"/>
  <c r="M904" i="1" s="1"/>
  <c r="E903" i="1"/>
  <c r="I903" i="1" s="1"/>
  <c r="K903" i="1" s="1"/>
  <c r="M903" i="1" s="1"/>
  <c r="E902" i="1"/>
  <c r="I902" i="1" s="1"/>
  <c r="K902" i="1" s="1"/>
  <c r="M902" i="1" s="1"/>
  <c r="E901" i="1"/>
  <c r="I901" i="1" s="1"/>
  <c r="K901" i="1" s="1"/>
  <c r="M901" i="1" s="1"/>
  <c r="E900" i="1"/>
  <c r="I900" i="1" s="1"/>
  <c r="K900" i="1" s="1"/>
  <c r="M900" i="1" s="1"/>
  <c r="E899" i="1"/>
  <c r="I899" i="1" s="1"/>
  <c r="K899" i="1" s="1"/>
  <c r="M899" i="1" s="1"/>
  <c r="E898" i="1"/>
  <c r="I898" i="1" s="1"/>
  <c r="K898" i="1" s="1"/>
  <c r="M898" i="1" s="1"/>
  <c r="E897" i="1"/>
  <c r="I897" i="1" s="1"/>
  <c r="K897" i="1" s="1"/>
  <c r="M897" i="1" s="1"/>
  <c r="E896" i="1"/>
  <c r="I896" i="1" s="1"/>
  <c r="K896" i="1" s="1"/>
  <c r="M896" i="1" s="1"/>
  <c r="E895" i="1"/>
  <c r="I895" i="1" s="1"/>
  <c r="K895" i="1" s="1"/>
  <c r="M895" i="1" s="1"/>
  <c r="E894" i="1"/>
  <c r="I894" i="1" s="1"/>
  <c r="K894" i="1" s="1"/>
  <c r="M894" i="1" s="1"/>
  <c r="E893" i="1"/>
  <c r="I893" i="1" s="1"/>
  <c r="K893" i="1" s="1"/>
  <c r="M893" i="1" s="1"/>
  <c r="E892" i="1"/>
  <c r="I892" i="1" s="1"/>
  <c r="K892" i="1" s="1"/>
  <c r="M892" i="1" s="1"/>
  <c r="E891" i="1"/>
  <c r="I891" i="1" s="1"/>
  <c r="K891" i="1" s="1"/>
  <c r="M891" i="1" s="1"/>
  <c r="E890" i="1"/>
  <c r="I890" i="1" s="1"/>
  <c r="K890" i="1" s="1"/>
  <c r="M890" i="1" s="1"/>
  <c r="E889" i="1"/>
  <c r="I889" i="1" s="1"/>
  <c r="K889" i="1" s="1"/>
  <c r="M889" i="1" s="1"/>
  <c r="E888" i="1"/>
  <c r="I888" i="1" s="1"/>
  <c r="K888" i="1" s="1"/>
  <c r="M888" i="1" s="1"/>
  <c r="E887" i="1"/>
  <c r="I887" i="1" s="1"/>
  <c r="K887" i="1" s="1"/>
  <c r="M887" i="1" s="1"/>
  <c r="I880" i="1"/>
  <c r="K880" i="1" s="1"/>
  <c r="M880" i="1" s="1"/>
  <c r="E886" i="1"/>
  <c r="I886" i="1" s="1"/>
  <c r="K886" i="1" s="1"/>
  <c r="M886" i="1" s="1"/>
  <c r="E885" i="1"/>
  <c r="I885" i="1" s="1"/>
  <c r="K885" i="1" s="1"/>
  <c r="M885" i="1" s="1"/>
  <c r="E884" i="1"/>
  <c r="I884" i="1" s="1"/>
  <c r="K884" i="1" s="1"/>
  <c r="M884" i="1" s="1"/>
  <c r="E883" i="1"/>
  <c r="I883" i="1" s="1"/>
  <c r="K883" i="1" s="1"/>
  <c r="M883" i="1" s="1"/>
  <c r="E882" i="1"/>
  <c r="I882" i="1" s="1"/>
  <c r="K882" i="1" s="1"/>
  <c r="M882" i="1" s="1"/>
  <c r="E881" i="1"/>
  <c r="I881" i="1" s="1"/>
  <c r="K881" i="1" s="1"/>
  <c r="M881" i="1" s="1"/>
  <c r="E880" i="1"/>
  <c r="E879" i="1"/>
  <c r="I879" i="1" s="1"/>
  <c r="K879" i="1" s="1"/>
  <c r="M879" i="1" s="1"/>
  <c r="E878" i="1"/>
  <c r="I878" i="1" s="1"/>
  <c r="K878" i="1" s="1"/>
  <c r="M878" i="1" s="1"/>
  <c r="E877" i="1"/>
  <c r="I877" i="1" s="1"/>
  <c r="K877" i="1" s="1"/>
  <c r="M877" i="1" s="1"/>
  <c r="E876" i="1"/>
  <c r="I876" i="1" s="1"/>
  <c r="K876" i="1" s="1"/>
  <c r="M876" i="1" s="1"/>
  <c r="E875" i="1"/>
  <c r="I875" i="1" s="1"/>
  <c r="K875" i="1" s="1"/>
  <c r="M875" i="1" s="1"/>
  <c r="E874" i="1"/>
  <c r="I874" i="1" s="1"/>
  <c r="K874" i="1" s="1"/>
  <c r="M874" i="1" s="1"/>
  <c r="E873" i="1"/>
  <c r="I873" i="1" s="1"/>
  <c r="K873" i="1" s="1"/>
  <c r="M873" i="1" s="1"/>
  <c r="E872" i="1"/>
  <c r="I872" i="1" s="1"/>
  <c r="K872" i="1" s="1"/>
  <c r="M872" i="1" s="1"/>
  <c r="E871" i="1"/>
  <c r="I871" i="1" s="1"/>
  <c r="K871" i="1" s="1"/>
  <c r="M871" i="1" s="1"/>
  <c r="E870" i="1"/>
  <c r="I870" i="1" s="1"/>
  <c r="K870" i="1" s="1"/>
  <c r="M870" i="1" s="1"/>
  <c r="I865" i="1"/>
  <c r="K865" i="1" s="1"/>
  <c r="M865" i="1" s="1"/>
  <c r="E869" i="1"/>
  <c r="I869" i="1" s="1"/>
  <c r="K869" i="1" s="1"/>
  <c r="M869" i="1" s="1"/>
  <c r="E868" i="1"/>
  <c r="I868" i="1" s="1"/>
  <c r="K868" i="1" s="1"/>
  <c r="M868" i="1" s="1"/>
  <c r="E867" i="1"/>
  <c r="I867" i="1" s="1"/>
  <c r="K867" i="1" s="1"/>
  <c r="M867" i="1" s="1"/>
  <c r="E866" i="1"/>
  <c r="I866" i="1" s="1"/>
  <c r="K866" i="1" s="1"/>
  <c r="M866" i="1" s="1"/>
  <c r="E865" i="1"/>
  <c r="E864" i="1"/>
  <c r="I864" i="1" s="1"/>
  <c r="K864" i="1" s="1"/>
  <c r="M864" i="1" s="1"/>
  <c r="E863" i="1"/>
  <c r="I863" i="1" s="1"/>
  <c r="K863" i="1" s="1"/>
  <c r="M863" i="1" s="1"/>
  <c r="E862" i="1"/>
  <c r="I862" i="1" s="1"/>
  <c r="K862" i="1" s="1"/>
  <c r="M862" i="1" s="1"/>
  <c r="E861" i="1"/>
  <c r="I861" i="1" s="1"/>
  <c r="K861" i="1" s="1"/>
  <c r="M861" i="1" s="1"/>
  <c r="E860" i="1"/>
  <c r="I860" i="1" s="1"/>
  <c r="K860" i="1" s="1"/>
  <c r="M860" i="1" s="1"/>
  <c r="E859" i="1"/>
  <c r="I859" i="1" s="1"/>
  <c r="K859" i="1" s="1"/>
  <c r="M859" i="1" s="1"/>
  <c r="E858" i="1"/>
  <c r="I858" i="1" s="1"/>
  <c r="K858" i="1" s="1"/>
  <c r="M858" i="1" s="1"/>
  <c r="E857" i="1"/>
  <c r="I857" i="1" s="1"/>
  <c r="K857" i="1" s="1"/>
  <c r="M857" i="1" s="1"/>
  <c r="E856" i="1"/>
  <c r="I856" i="1" s="1"/>
  <c r="K856" i="1" s="1"/>
  <c r="M856" i="1" s="1"/>
  <c r="E855" i="1"/>
  <c r="I855" i="1" s="1"/>
  <c r="K855" i="1" s="1"/>
  <c r="M855" i="1" s="1"/>
  <c r="E854" i="1"/>
  <c r="I854" i="1" s="1"/>
  <c r="K854" i="1" s="1"/>
  <c r="M854" i="1" s="1"/>
  <c r="E853" i="1"/>
  <c r="I853" i="1" s="1"/>
  <c r="K853" i="1" s="1"/>
  <c r="M853" i="1" s="1"/>
  <c r="E852" i="1"/>
  <c r="I852" i="1" s="1"/>
  <c r="K852" i="1" s="1"/>
  <c r="M852" i="1" s="1"/>
  <c r="E851" i="1"/>
  <c r="I851" i="1" s="1"/>
  <c r="K851" i="1" s="1"/>
  <c r="M851" i="1" s="1"/>
  <c r="E850" i="1"/>
  <c r="I850" i="1" s="1"/>
  <c r="K850" i="1" s="1"/>
  <c r="M850" i="1" s="1"/>
  <c r="E849" i="1"/>
  <c r="I849" i="1" s="1"/>
  <c r="K849" i="1" s="1"/>
  <c r="M849" i="1" s="1"/>
  <c r="E848" i="1"/>
  <c r="I848" i="1" s="1"/>
  <c r="K848" i="1" s="1"/>
  <c r="M848" i="1" s="1"/>
  <c r="E847" i="1"/>
  <c r="I847" i="1" s="1"/>
  <c r="K847" i="1" s="1"/>
  <c r="M847" i="1" s="1"/>
  <c r="E846" i="1"/>
  <c r="I846" i="1" s="1"/>
  <c r="K846" i="1" s="1"/>
  <c r="M846" i="1" s="1"/>
  <c r="E845" i="1"/>
  <c r="I845" i="1" s="1"/>
  <c r="K845" i="1" s="1"/>
  <c r="M845" i="1" s="1"/>
  <c r="E844" i="1"/>
  <c r="I844" i="1" s="1"/>
  <c r="K844" i="1" s="1"/>
  <c r="M844" i="1" s="1"/>
  <c r="E843" i="1"/>
  <c r="I843" i="1" s="1"/>
  <c r="K843" i="1" s="1"/>
  <c r="M843" i="1" s="1"/>
  <c r="E842" i="1"/>
  <c r="I842" i="1" s="1"/>
  <c r="K842" i="1" s="1"/>
  <c r="M842" i="1" s="1"/>
  <c r="E841" i="1"/>
  <c r="I841" i="1" s="1"/>
  <c r="K841" i="1" s="1"/>
  <c r="M841" i="1" s="1"/>
  <c r="E840" i="1"/>
  <c r="I840" i="1" s="1"/>
  <c r="K840" i="1" s="1"/>
  <c r="M840" i="1" s="1"/>
  <c r="E839" i="1"/>
  <c r="I839" i="1" s="1"/>
  <c r="K839" i="1" s="1"/>
  <c r="M839" i="1" s="1"/>
  <c r="C22" i="4"/>
  <c r="C343" i="2"/>
  <c r="K919" i="1" l="1"/>
  <c r="I1014" i="1"/>
  <c r="M735" i="1"/>
  <c r="L735" i="1"/>
  <c r="K735" i="1"/>
  <c r="J735" i="1"/>
  <c r="I735" i="1"/>
  <c r="H735" i="1"/>
  <c r="E735" i="1"/>
  <c r="D735" i="1"/>
  <c r="C735" i="1"/>
  <c r="C11" i="4"/>
  <c r="L914" i="1"/>
  <c r="J914" i="1"/>
  <c r="H914" i="1"/>
  <c r="D914" i="1"/>
  <c r="C914" i="1"/>
  <c r="E838" i="1"/>
  <c r="I838" i="1" s="1"/>
  <c r="K838" i="1" s="1"/>
  <c r="M838" i="1" s="1"/>
  <c r="E837" i="1"/>
  <c r="I837" i="1" s="1"/>
  <c r="K837" i="1" s="1"/>
  <c r="M837" i="1" s="1"/>
  <c r="E836" i="1"/>
  <c r="I836" i="1" s="1"/>
  <c r="K836" i="1" s="1"/>
  <c r="M836" i="1" s="1"/>
  <c r="E835" i="1"/>
  <c r="I835" i="1" s="1"/>
  <c r="K835" i="1" s="1"/>
  <c r="M835" i="1" s="1"/>
  <c r="E834" i="1"/>
  <c r="I834" i="1" s="1"/>
  <c r="K834" i="1" s="1"/>
  <c r="M834" i="1" s="1"/>
  <c r="E833" i="1"/>
  <c r="I833" i="1" s="1"/>
  <c r="L828" i="1"/>
  <c r="J828" i="1"/>
  <c r="H828" i="1"/>
  <c r="D828" i="1"/>
  <c r="C828" i="1"/>
  <c r="E827" i="1"/>
  <c r="I827" i="1" s="1"/>
  <c r="K827" i="1" s="1"/>
  <c r="M827" i="1" s="1"/>
  <c r="E826" i="1"/>
  <c r="I826" i="1" s="1"/>
  <c r="K826" i="1" s="1"/>
  <c r="M826" i="1" s="1"/>
  <c r="E825" i="1"/>
  <c r="I825" i="1" s="1"/>
  <c r="K825" i="1" s="1"/>
  <c r="M825" i="1" s="1"/>
  <c r="E824" i="1"/>
  <c r="I824" i="1" s="1"/>
  <c r="K824" i="1" s="1"/>
  <c r="M824" i="1" s="1"/>
  <c r="E823" i="1"/>
  <c r="I823" i="1" s="1"/>
  <c r="K823" i="1" s="1"/>
  <c r="M823" i="1" s="1"/>
  <c r="E822" i="1"/>
  <c r="I822" i="1" s="1"/>
  <c r="K822" i="1" s="1"/>
  <c r="M822" i="1" s="1"/>
  <c r="E821" i="1"/>
  <c r="I821" i="1" s="1"/>
  <c r="K821" i="1" s="1"/>
  <c r="M821" i="1" s="1"/>
  <c r="E820" i="1"/>
  <c r="I820" i="1" s="1"/>
  <c r="K820" i="1" s="1"/>
  <c r="M820" i="1" s="1"/>
  <c r="E819" i="1"/>
  <c r="I819" i="1" s="1"/>
  <c r="K819" i="1" s="1"/>
  <c r="M819" i="1" s="1"/>
  <c r="E818" i="1"/>
  <c r="I818" i="1" s="1"/>
  <c r="K818" i="1" s="1"/>
  <c r="M818" i="1" s="1"/>
  <c r="E817" i="1"/>
  <c r="I817" i="1" s="1"/>
  <c r="K817" i="1" s="1"/>
  <c r="M817" i="1" s="1"/>
  <c r="E816" i="1"/>
  <c r="I816" i="1" s="1"/>
  <c r="K816" i="1" s="1"/>
  <c r="M816" i="1" s="1"/>
  <c r="E815" i="1"/>
  <c r="I815" i="1" s="1"/>
  <c r="K815" i="1" s="1"/>
  <c r="M815" i="1" s="1"/>
  <c r="E814" i="1"/>
  <c r="I814" i="1" s="1"/>
  <c r="K814" i="1" s="1"/>
  <c r="M814" i="1" s="1"/>
  <c r="E813" i="1"/>
  <c r="I813" i="1" s="1"/>
  <c r="K813" i="1" s="1"/>
  <c r="M813" i="1" s="1"/>
  <c r="E812" i="1"/>
  <c r="I812" i="1" s="1"/>
  <c r="K812" i="1" s="1"/>
  <c r="M812" i="1" s="1"/>
  <c r="E811" i="1"/>
  <c r="I811" i="1" s="1"/>
  <c r="K811" i="1" s="1"/>
  <c r="M811" i="1" s="1"/>
  <c r="E810" i="1"/>
  <c r="I810" i="1" s="1"/>
  <c r="K810" i="1" s="1"/>
  <c r="M810" i="1" s="1"/>
  <c r="E809" i="1"/>
  <c r="I809" i="1" s="1"/>
  <c r="K809" i="1" s="1"/>
  <c r="M809" i="1" s="1"/>
  <c r="E808" i="1"/>
  <c r="I808" i="1" s="1"/>
  <c r="K808" i="1" s="1"/>
  <c r="M808" i="1" s="1"/>
  <c r="E807" i="1"/>
  <c r="I807" i="1" s="1"/>
  <c r="K807" i="1" s="1"/>
  <c r="M807" i="1" s="1"/>
  <c r="E806" i="1"/>
  <c r="I806" i="1" s="1"/>
  <c r="K806" i="1" s="1"/>
  <c r="M806" i="1" s="1"/>
  <c r="E805" i="1"/>
  <c r="I805" i="1" s="1"/>
  <c r="K805" i="1" s="1"/>
  <c r="M805" i="1" s="1"/>
  <c r="E804" i="1"/>
  <c r="I804" i="1" s="1"/>
  <c r="K804" i="1" s="1"/>
  <c r="M804" i="1" s="1"/>
  <c r="E803" i="1"/>
  <c r="I803" i="1" s="1"/>
  <c r="K803" i="1" s="1"/>
  <c r="M803" i="1" s="1"/>
  <c r="E802" i="1"/>
  <c r="I802" i="1" s="1"/>
  <c r="K802" i="1" s="1"/>
  <c r="M802" i="1" s="1"/>
  <c r="E801" i="1"/>
  <c r="I801" i="1" s="1"/>
  <c r="K801" i="1" s="1"/>
  <c r="M801" i="1" s="1"/>
  <c r="E800" i="1"/>
  <c r="I800" i="1" s="1"/>
  <c r="K800" i="1" s="1"/>
  <c r="M800" i="1" s="1"/>
  <c r="E799" i="1"/>
  <c r="I799" i="1" s="1"/>
  <c r="K799" i="1" s="1"/>
  <c r="M799" i="1" s="1"/>
  <c r="E798" i="1"/>
  <c r="I798" i="1" s="1"/>
  <c r="K798" i="1" s="1"/>
  <c r="M798" i="1" s="1"/>
  <c r="E797" i="1"/>
  <c r="I797" i="1" s="1"/>
  <c r="K797" i="1" s="1"/>
  <c r="M797" i="1" s="1"/>
  <c r="E796" i="1"/>
  <c r="I796" i="1" s="1"/>
  <c r="K796" i="1" s="1"/>
  <c r="M796" i="1" s="1"/>
  <c r="E795" i="1"/>
  <c r="I795" i="1" s="1"/>
  <c r="K795" i="1" s="1"/>
  <c r="M795" i="1" s="1"/>
  <c r="E794" i="1"/>
  <c r="I794" i="1" s="1"/>
  <c r="K794" i="1" s="1"/>
  <c r="M794" i="1" s="1"/>
  <c r="E793" i="1"/>
  <c r="I793" i="1" s="1"/>
  <c r="K793" i="1" s="1"/>
  <c r="M793" i="1" s="1"/>
  <c r="E792" i="1"/>
  <c r="I792" i="1" s="1"/>
  <c r="K792" i="1" s="1"/>
  <c r="M792" i="1" s="1"/>
  <c r="E791" i="1"/>
  <c r="I791" i="1" s="1"/>
  <c r="K791" i="1" s="1"/>
  <c r="M791" i="1" s="1"/>
  <c r="E790" i="1"/>
  <c r="I790" i="1" s="1"/>
  <c r="K790" i="1" s="1"/>
  <c r="M790" i="1" s="1"/>
  <c r="E789" i="1"/>
  <c r="I789" i="1" s="1"/>
  <c r="K789" i="1" s="1"/>
  <c r="M789" i="1" s="1"/>
  <c r="I788" i="1"/>
  <c r="K788" i="1" s="1"/>
  <c r="M788" i="1" s="1"/>
  <c r="E787" i="1"/>
  <c r="I787" i="1" s="1"/>
  <c r="K787" i="1" s="1"/>
  <c r="M787" i="1" s="1"/>
  <c r="E786" i="1"/>
  <c r="I786" i="1" s="1"/>
  <c r="K786" i="1" s="1"/>
  <c r="M786" i="1" s="1"/>
  <c r="E785" i="1"/>
  <c r="I785" i="1" s="1"/>
  <c r="K785" i="1" s="1"/>
  <c r="M785" i="1" s="1"/>
  <c r="E784" i="1"/>
  <c r="I784" i="1" s="1"/>
  <c r="K784" i="1" s="1"/>
  <c r="M784" i="1" s="1"/>
  <c r="E783" i="1"/>
  <c r="I783" i="1" s="1"/>
  <c r="K783" i="1" s="1"/>
  <c r="M783" i="1" s="1"/>
  <c r="E782" i="1"/>
  <c r="I782" i="1" s="1"/>
  <c r="K782" i="1" s="1"/>
  <c r="M782" i="1" s="1"/>
  <c r="E781" i="1"/>
  <c r="I781" i="1" s="1"/>
  <c r="K781" i="1" s="1"/>
  <c r="M781" i="1" s="1"/>
  <c r="E780" i="1"/>
  <c r="I780" i="1" s="1"/>
  <c r="K780" i="1" s="1"/>
  <c r="M780" i="1" s="1"/>
  <c r="E779" i="1"/>
  <c r="I779" i="1" s="1"/>
  <c r="K779" i="1" s="1"/>
  <c r="M779" i="1" s="1"/>
  <c r="E778" i="1"/>
  <c r="I778" i="1" s="1"/>
  <c r="K778" i="1" s="1"/>
  <c r="M778" i="1" s="1"/>
  <c r="E777" i="1"/>
  <c r="I777" i="1" s="1"/>
  <c r="K777" i="1" s="1"/>
  <c r="M777" i="1" s="1"/>
  <c r="E776" i="1"/>
  <c r="I776" i="1" s="1"/>
  <c r="K776" i="1" s="1"/>
  <c r="M776" i="1" s="1"/>
  <c r="E775" i="1"/>
  <c r="I775" i="1" s="1"/>
  <c r="K775" i="1" s="1"/>
  <c r="M775" i="1" s="1"/>
  <c r="E774" i="1"/>
  <c r="I774" i="1" s="1"/>
  <c r="K774" i="1" s="1"/>
  <c r="M774" i="1" s="1"/>
  <c r="E773" i="1"/>
  <c r="I773" i="1" s="1"/>
  <c r="K773" i="1" s="1"/>
  <c r="M773" i="1" s="1"/>
  <c r="E772" i="1"/>
  <c r="I772" i="1" s="1"/>
  <c r="K772" i="1" s="1"/>
  <c r="M772" i="1" s="1"/>
  <c r="E771" i="1"/>
  <c r="I771" i="1" s="1"/>
  <c r="K771" i="1" s="1"/>
  <c r="M771" i="1" s="1"/>
  <c r="E770" i="1"/>
  <c r="I770" i="1" s="1"/>
  <c r="K770" i="1" s="1"/>
  <c r="M770" i="1" s="1"/>
  <c r="E769" i="1"/>
  <c r="I769" i="1" s="1"/>
  <c r="K769" i="1" s="1"/>
  <c r="M769" i="1" s="1"/>
  <c r="E768" i="1"/>
  <c r="I768" i="1" s="1"/>
  <c r="K768" i="1" s="1"/>
  <c r="M768" i="1" s="1"/>
  <c r="I767" i="1"/>
  <c r="K767" i="1" s="1"/>
  <c r="M767" i="1" s="1"/>
  <c r="E766" i="1"/>
  <c r="I766" i="1" s="1"/>
  <c r="K766" i="1" s="1"/>
  <c r="M766" i="1" s="1"/>
  <c r="E765" i="1"/>
  <c r="I765" i="1" s="1"/>
  <c r="K765" i="1" s="1"/>
  <c r="M765" i="1" s="1"/>
  <c r="E764" i="1"/>
  <c r="I764" i="1" s="1"/>
  <c r="K764" i="1" s="1"/>
  <c r="M764" i="1" s="1"/>
  <c r="E763" i="1"/>
  <c r="I763" i="1" s="1"/>
  <c r="K763" i="1" s="1"/>
  <c r="M763" i="1" s="1"/>
  <c r="E762" i="1"/>
  <c r="I762" i="1" s="1"/>
  <c r="K762" i="1" s="1"/>
  <c r="M762" i="1" s="1"/>
  <c r="E761" i="1"/>
  <c r="I761" i="1" s="1"/>
  <c r="K761" i="1" s="1"/>
  <c r="M761" i="1" s="1"/>
  <c r="E760" i="1"/>
  <c r="I760" i="1" s="1"/>
  <c r="K760" i="1" s="1"/>
  <c r="M760" i="1" s="1"/>
  <c r="E759" i="1"/>
  <c r="I759" i="1" s="1"/>
  <c r="K759" i="1" s="1"/>
  <c r="M759" i="1" s="1"/>
  <c r="E758" i="1"/>
  <c r="I758" i="1" s="1"/>
  <c r="K758" i="1" s="1"/>
  <c r="M758" i="1" s="1"/>
  <c r="E757" i="1"/>
  <c r="I757" i="1" s="1"/>
  <c r="K757" i="1" s="1"/>
  <c r="M757" i="1" s="1"/>
  <c r="E756" i="1"/>
  <c r="I756" i="1" s="1"/>
  <c r="K756" i="1" s="1"/>
  <c r="M756" i="1" s="1"/>
  <c r="E755" i="1"/>
  <c r="I755" i="1" s="1"/>
  <c r="K755" i="1" s="1"/>
  <c r="M755" i="1" s="1"/>
  <c r="E754" i="1"/>
  <c r="I754" i="1" s="1"/>
  <c r="K754" i="1" s="1"/>
  <c r="M754" i="1" s="1"/>
  <c r="E753" i="1"/>
  <c r="I753" i="1" s="1"/>
  <c r="K753" i="1" s="1"/>
  <c r="M753" i="1" s="1"/>
  <c r="E752" i="1"/>
  <c r="I752" i="1" s="1"/>
  <c r="K752" i="1" s="1"/>
  <c r="M752" i="1" s="1"/>
  <c r="E751" i="1"/>
  <c r="I751" i="1" s="1"/>
  <c r="K751" i="1" s="1"/>
  <c r="M751" i="1" s="1"/>
  <c r="E750" i="1"/>
  <c r="I750" i="1" s="1"/>
  <c r="K750" i="1" s="1"/>
  <c r="M750" i="1" s="1"/>
  <c r="E749" i="1"/>
  <c r="I749" i="1" s="1"/>
  <c r="K749" i="1" s="1"/>
  <c r="M749" i="1" s="1"/>
  <c r="E748" i="1"/>
  <c r="I748" i="1" s="1"/>
  <c r="K748" i="1" s="1"/>
  <c r="M748" i="1" s="1"/>
  <c r="E747" i="1"/>
  <c r="I747" i="1" s="1"/>
  <c r="K747" i="1" s="1"/>
  <c r="M747" i="1" s="1"/>
  <c r="E746" i="1"/>
  <c r="I746" i="1" s="1"/>
  <c r="K746" i="1" s="1"/>
  <c r="M746" i="1" s="1"/>
  <c r="E745" i="1"/>
  <c r="I745" i="1" s="1"/>
  <c r="K745" i="1" s="1"/>
  <c r="M745" i="1" s="1"/>
  <c r="E744" i="1"/>
  <c r="I744" i="1" s="1"/>
  <c r="K744" i="1" s="1"/>
  <c r="M744" i="1" s="1"/>
  <c r="E743" i="1"/>
  <c r="I743" i="1" s="1"/>
  <c r="K743" i="1" s="1"/>
  <c r="M743" i="1" s="1"/>
  <c r="E742" i="1"/>
  <c r="I742" i="1" s="1"/>
  <c r="K742" i="1" s="1"/>
  <c r="M742" i="1" s="1"/>
  <c r="E741" i="1"/>
  <c r="I741" i="1" s="1"/>
  <c r="K741" i="1" s="1"/>
  <c r="M741" i="1" s="1"/>
  <c r="E740" i="1"/>
  <c r="I740" i="1" s="1"/>
  <c r="K740" i="1" s="1"/>
  <c r="M740" i="1" s="1"/>
  <c r="E739" i="1"/>
  <c r="I739" i="1" s="1"/>
  <c r="C392" i="2"/>
  <c r="I369" i="2"/>
  <c r="F69" i="3"/>
  <c r="C69" i="3" s="1"/>
  <c r="C68" i="3" s="1"/>
  <c r="C46" i="3"/>
  <c r="F46" i="3" s="1"/>
  <c r="F45" i="3" s="1"/>
  <c r="F34" i="3"/>
  <c r="C34" i="3" s="1"/>
  <c r="F22" i="3"/>
  <c r="C22" i="3"/>
  <c r="C10" i="3"/>
  <c r="F10" i="3" s="1"/>
  <c r="F9" i="3" s="1"/>
  <c r="C293" i="2"/>
  <c r="C297" i="2" s="1"/>
  <c r="C239" i="2"/>
  <c r="J173" i="2"/>
  <c r="C161" i="2"/>
  <c r="I91" i="2"/>
  <c r="J11" i="2"/>
  <c r="C6" i="2"/>
  <c r="C78" i="2" s="1"/>
  <c r="L659" i="1"/>
  <c r="J659" i="1"/>
  <c r="H659" i="1"/>
  <c r="D659" i="1"/>
  <c r="C659" i="1"/>
  <c r="E658" i="1"/>
  <c r="I658" i="1" s="1"/>
  <c r="K658" i="1" s="1"/>
  <c r="M658" i="1" s="1"/>
  <c r="E657" i="1"/>
  <c r="I657" i="1" s="1"/>
  <c r="K657" i="1" s="1"/>
  <c r="M657" i="1" s="1"/>
  <c r="E656" i="1"/>
  <c r="I656" i="1" s="1"/>
  <c r="K656" i="1" s="1"/>
  <c r="M656" i="1" s="1"/>
  <c r="E655" i="1"/>
  <c r="I655" i="1" s="1"/>
  <c r="K655" i="1" s="1"/>
  <c r="M655" i="1" s="1"/>
  <c r="E654" i="1"/>
  <c r="I654" i="1" s="1"/>
  <c r="K654" i="1" s="1"/>
  <c r="M654" i="1" s="1"/>
  <c r="E653" i="1"/>
  <c r="I653" i="1" s="1"/>
  <c r="K653" i="1" s="1"/>
  <c r="M653" i="1" s="1"/>
  <c r="E652" i="1"/>
  <c r="I652" i="1" s="1"/>
  <c r="K652" i="1" s="1"/>
  <c r="M652" i="1" s="1"/>
  <c r="E651" i="1"/>
  <c r="I651" i="1" s="1"/>
  <c r="K651" i="1" s="1"/>
  <c r="M651" i="1" s="1"/>
  <c r="E650" i="1"/>
  <c r="I650" i="1" s="1"/>
  <c r="K650" i="1" s="1"/>
  <c r="M650" i="1" s="1"/>
  <c r="E649" i="1"/>
  <c r="I649" i="1" s="1"/>
  <c r="K649" i="1" s="1"/>
  <c r="M649" i="1" s="1"/>
  <c r="E648" i="1"/>
  <c r="I648" i="1" s="1"/>
  <c r="K648" i="1" s="1"/>
  <c r="M648" i="1" s="1"/>
  <c r="E647" i="1"/>
  <c r="I647" i="1" s="1"/>
  <c r="K647" i="1" s="1"/>
  <c r="M647" i="1" s="1"/>
  <c r="E646" i="1"/>
  <c r="I646" i="1" s="1"/>
  <c r="K646" i="1" s="1"/>
  <c r="M646" i="1" s="1"/>
  <c r="E645" i="1"/>
  <c r="I645" i="1" s="1"/>
  <c r="K645" i="1" s="1"/>
  <c r="M645" i="1" s="1"/>
  <c r="E644" i="1"/>
  <c r="I644" i="1" s="1"/>
  <c r="K644" i="1" s="1"/>
  <c r="M644" i="1" s="1"/>
  <c r="E643" i="1"/>
  <c r="I643" i="1" s="1"/>
  <c r="K643" i="1" s="1"/>
  <c r="M643" i="1" s="1"/>
  <c r="E642" i="1"/>
  <c r="I642" i="1" s="1"/>
  <c r="K642" i="1" s="1"/>
  <c r="M642" i="1" s="1"/>
  <c r="E641" i="1"/>
  <c r="I641" i="1" s="1"/>
  <c r="K641" i="1" s="1"/>
  <c r="M641" i="1" s="1"/>
  <c r="E640" i="1"/>
  <c r="I640" i="1" s="1"/>
  <c r="K640" i="1" s="1"/>
  <c r="M640" i="1" s="1"/>
  <c r="E639" i="1"/>
  <c r="I639" i="1" s="1"/>
  <c r="K639" i="1" s="1"/>
  <c r="M639" i="1" s="1"/>
  <c r="E638" i="1"/>
  <c r="I638" i="1" s="1"/>
  <c r="K638" i="1" s="1"/>
  <c r="M638" i="1" s="1"/>
  <c r="E637" i="1"/>
  <c r="I637" i="1" s="1"/>
  <c r="K637" i="1" s="1"/>
  <c r="M637" i="1" s="1"/>
  <c r="E636" i="1"/>
  <c r="I636" i="1" s="1"/>
  <c r="K636" i="1" s="1"/>
  <c r="M636" i="1" s="1"/>
  <c r="E635" i="1"/>
  <c r="I635" i="1" s="1"/>
  <c r="K635" i="1" s="1"/>
  <c r="M635" i="1" s="1"/>
  <c r="E634" i="1"/>
  <c r="I634" i="1" s="1"/>
  <c r="K634" i="1" s="1"/>
  <c r="M634" i="1" s="1"/>
  <c r="E633" i="1"/>
  <c r="I633" i="1" s="1"/>
  <c r="K633" i="1" s="1"/>
  <c r="M633" i="1" s="1"/>
  <c r="E632" i="1"/>
  <c r="I632" i="1" s="1"/>
  <c r="K632" i="1" s="1"/>
  <c r="M632" i="1" s="1"/>
  <c r="E631" i="1"/>
  <c r="I631" i="1" s="1"/>
  <c r="K631" i="1" s="1"/>
  <c r="M631" i="1" s="1"/>
  <c r="E630" i="1"/>
  <c r="I630" i="1" s="1"/>
  <c r="K630" i="1" s="1"/>
  <c r="M630" i="1" s="1"/>
  <c r="E629" i="1"/>
  <c r="I629" i="1" s="1"/>
  <c r="K629" i="1" s="1"/>
  <c r="M629" i="1" s="1"/>
  <c r="E628" i="1"/>
  <c r="I628" i="1" s="1"/>
  <c r="K628" i="1" s="1"/>
  <c r="M628" i="1" s="1"/>
  <c r="E627" i="1"/>
  <c r="I627" i="1" s="1"/>
  <c r="K627" i="1" s="1"/>
  <c r="M627" i="1" s="1"/>
  <c r="E626" i="1"/>
  <c r="L621" i="1"/>
  <c r="J621" i="1"/>
  <c r="H621" i="1"/>
  <c r="D621" i="1"/>
  <c r="C621" i="1"/>
  <c r="E620" i="1"/>
  <c r="I620" i="1" s="1"/>
  <c r="K620" i="1" s="1"/>
  <c r="M620" i="1" s="1"/>
  <c r="E619" i="1"/>
  <c r="I619" i="1" s="1"/>
  <c r="K619" i="1" s="1"/>
  <c r="M619" i="1" s="1"/>
  <c r="E618" i="1"/>
  <c r="I618" i="1" s="1"/>
  <c r="K618" i="1" s="1"/>
  <c r="M618" i="1" s="1"/>
  <c r="E617" i="1"/>
  <c r="I617" i="1" s="1"/>
  <c r="K617" i="1" s="1"/>
  <c r="M617" i="1" s="1"/>
  <c r="E616" i="1"/>
  <c r="I616" i="1" s="1"/>
  <c r="K616" i="1" s="1"/>
  <c r="M616" i="1" s="1"/>
  <c r="E615" i="1"/>
  <c r="I615" i="1" s="1"/>
  <c r="K615" i="1" s="1"/>
  <c r="M615" i="1" s="1"/>
  <c r="E614" i="1"/>
  <c r="I614" i="1" s="1"/>
  <c r="K614" i="1" s="1"/>
  <c r="M614" i="1" s="1"/>
  <c r="E613" i="1"/>
  <c r="I613" i="1" s="1"/>
  <c r="K613" i="1" s="1"/>
  <c r="M613" i="1" s="1"/>
  <c r="E612" i="1"/>
  <c r="I612" i="1" s="1"/>
  <c r="K612" i="1" s="1"/>
  <c r="M612" i="1" s="1"/>
  <c r="E611" i="1"/>
  <c r="I611" i="1" s="1"/>
  <c r="K611" i="1" s="1"/>
  <c r="M611" i="1" s="1"/>
  <c r="E610" i="1"/>
  <c r="I610" i="1" s="1"/>
  <c r="K610" i="1" s="1"/>
  <c r="M610" i="1" s="1"/>
  <c r="E609" i="1"/>
  <c r="I609" i="1" s="1"/>
  <c r="K609" i="1" s="1"/>
  <c r="M609" i="1" s="1"/>
  <c r="E608" i="1"/>
  <c r="I608" i="1" s="1"/>
  <c r="K608" i="1" s="1"/>
  <c r="M608" i="1" s="1"/>
  <c r="E607" i="1"/>
  <c r="I607" i="1" s="1"/>
  <c r="K607" i="1" s="1"/>
  <c r="M607" i="1" s="1"/>
  <c r="E606" i="1"/>
  <c r="I606" i="1" s="1"/>
  <c r="K606" i="1" s="1"/>
  <c r="M606" i="1" s="1"/>
  <c r="E605" i="1"/>
  <c r="I605" i="1" s="1"/>
  <c r="K605" i="1" s="1"/>
  <c r="M605" i="1" s="1"/>
  <c r="E604" i="1"/>
  <c r="I604" i="1" s="1"/>
  <c r="K604" i="1" s="1"/>
  <c r="M604" i="1" s="1"/>
  <c r="E603" i="1"/>
  <c r="I603" i="1" s="1"/>
  <c r="K603" i="1" s="1"/>
  <c r="M603" i="1" s="1"/>
  <c r="E602" i="1"/>
  <c r="I602" i="1" s="1"/>
  <c r="K602" i="1" s="1"/>
  <c r="M602" i="1" s="1"/>
  <c r="E601" i="1"/>
  <c r="I601" i="1" s="1"/>
  <c r="K601" i="1" s="1"/>
  <c r="M601" i="1" s="1"/>
  <c r="E600" i="1"/>
  <c r="I600" i="1" s="1"/>
  <c r="K600" i="1" s="1"/>
  <c r="M600" i="1" s="1"/>
  <c r="E599" i="1"/>
  <c r="I599" i="1" s="1"/>
  <c r="K599" i="1" s="1"/>
  <c r="M599" i="1" s="1"/>
  <c r="E598" i="1"/>
  <c r="I598" i="1" s="1"/>
  <c r="K598" i="1" s="1"/>
  <c r="M598" i="1" s="1"/>
  <c r="E597" i="1"/>
  <c r="I597" i="1" s="1"/>
  <c r="K597" i="1" s="1"/>
  <c r="M597" i="1" s="1"/>
  <c r="E596" i="1"/>
  <c r="I596" i="1" s="1"/>
  <c r="K596" i="1" s="1"/>
  <c r="M596" i="1" s="1"/>
  <c r="E595" i="1"/>
  <c r="I595" i="1" s="1"/>
  <c r="K595" i="1" s="1"/>
  <c r="M595" i="1" s="1"/>
  <c r="E594" i="1"/>
  <c r="I594" i="1" s="1"/>
  <c r="K594" i="1" s="1"/>
  <c r="M594" i="1" s="1"/>
  <c r="E593" i="1"/>
  <c r="I593" i="1" s="1"/>
  <c r="K593" i="1" s="1"/>
  <c r="M593" i="1" s="1"/>
  <c r="E592" i="1"/>
  <c r="I592" i="1" s="1"/>
  <c r="K592" i="1" s="1"/>
  <c r="M592" i="1" s="1"/>
  <c r="E591" i="1"/>
  <c r="I591" i="1" s="1"/>
  <c r="K591" i="1" s="1"/>
  <c r="M591" i="1" s="1"/>
  <c r="E590" i="1"/>
  <c r="I590" i="1" s="1"/>
  <c r="K590" i="1" s="1"/>
  <c r="M590" i="1" s="1"/>
  <c r="E589" i="1"/>
  <c r="I589" i="1" s="1"/>
  <c r="K589" i="1" s="1"/>
  <c r="M589" i="1" s="1"/>
  <c r="E588" i="1"/>
  <c r="I588" i="1" s="1"/>
  <c r="K588" i="1" s="1"/>
  <c r="M588" i="1" s="1"/>
  <c r="E587" i="1"/>
  <c r="I587" i="1" s="1"/>
  <c r="K587" i="1" s="1"/>
  <c r="M587" i="1" s="1"/>
  <c r="E586" i="1"/>
  <c r="I586" i="1" s="1"/>
  <c r="K586" i="1" s="1"/>
  <c r="M586" i="1" s="1"/>
  <c r="E585" i="1"/>
  <c r="I585" i="1" s="1"/>
  <c r="K585" i="1" s="1"/>
  <c r="M585" i="1" s="1"/>
  <c r="E584" i="1"/>
  <c r="I584" i="1" s="1"/>
  <c r="K584" i="1" s="1"/>
  <c r="M584" i="1" s="1"/>
  <c r="E583" i="1"/>
  <c r="I583" i="1" s="1"/>
  <c r="K583" i="1" s="1"/>
  <c r="M583" i="1" s="1"/>
  <c r="E582" i="1"/>
  <c r="I582" i="1" s="1"/>
  <c r="K582" i="1" s="1"/>
  <c r="M582" i="1" s="1"/>
  <c r="E581" i="1"/>
  <c r="I581" i="1" s="1"/>
  <c r="K581" i="1" s="1"/>
  <c r="M581" i="1" s="1"/>
  <c r="E580" i="1"/>
  <c r="I580" i="1" s="1"/>
  <c r="K580" i="1" s="1"/>
  <c r="M580" i="1" s="1"/>
  <c r="E579" i="1"/>
  <c r="I579" i="1" s="1"/>
  <c r="K579" i="1" s="1"/>
  <c r="M579" i="1" s="1"/>
  <c r="E578" i="1"/>
  <c r="I578" i="1" s="1"/>
  <c r="K578" i="1" s="1"/>
  <c r="M578" i="1" s="1"/>
  <c r="E577" i="1"/>
  <c r="I577" i="1" s="1"/>
  <c r="K577" i="1" s="1"/>
  <c r="M577" i="1" s="1"/>
  <c r="E576" i="1"/>
  <c r="I576" i="1" s="1"/>
  <c r="K576" i="1" s="1"/>
  <c r="M576" i="1" s="1"/>
  <c r="E575" i="1"/>
  <c r="I575" i="1" s="1"/>
  <c r="K575" i="1" s="1"/>
  <c r="M575" i="1" s="1"/>
  <c r="E574" i="1"/>
  <c r="I574" i="1" s="1"/>
  <c r="K574" i="1" s="1"/>
  <c r="M574" i="1" s="1"/>
  <c r="E573" i="1"/>
  <c r="I573" i="1" s="1"/>
  <c r="K573" i="1" s="1"/>
  <c r="M573" i="1" s="1"/>
  <c r="E572" i="1"/>
  <c r="I572" i="1" s="1"/>
  <c r="K572" i="1" s="1"/>
  <c r="M572" i="1" s="1"/>
  <c r="E571" i="1"/>
  <c r="I571" i="1" s="1"/>
  <c r="K571" i="1" s="1"/>
  <c r="M571" i="1" s="1"/>
  <c r="E570" i="1"/>
  <c r="I570" i="1" s="1"/>
  <c r="K570" i="1" s="1"/>
  <c r="M570" i="1" s="1"/>
  <c r="E569" i="1"/>
  <c r="I569" i="1" s="1"/>
  <c r="K569" i="1" s="1"/>
  <c r="M569" i="1" s="1"/>
  <c r="E568" i="1"/>
  <c r="I568" i="1" s="1"/>
  <c r="K568" i="1" s="1"/>
  <c r="M568" i="1" s="1"/>
  <c r="E567" i="1"/>
  <c r="I567" i="1" s="1"/>
  <c r="K567" i="1" s="1"/>
  <c r="M567" i="1" s="1"/>
  <c r="E566" i="1"/>
  <c r="I566" i="1" s="1"/>
  <c r="K566" i="1" s="1"/>
  <c r="M566" i="1" s="1"/>
  <c r="E565" i="1"/>
  <c r="I565" i="1" s="1"/>
  <c r="K565" i="1" s="1"/>
  <c r="M565" i="1" s="1"/>
  <c r="E564" i="1"/>
  <c r="I564" i="1" s="1"/>
  <c r="K564" i="1" s="1"/>
  <c r="M564" i="1" s="1"/>
  <c r="E563" i="1"/>
  <c r="I563" i="1" s="1"/>
  <c r="K563" i="1" s="1"/>
  <c r="M563" i="1" s="1"/>
  <c r="E562" i="1"/>
  <c r="I562" i="1" s="1"/>
  <c r="K562" i="1" s="1"/>
  <c r="M562" i="1" s="1"/>
  <c r="E561" i="1"/>
  <c r="I561" i="1" s="1"/>
  <c r="K561" i="1" s="1"/>
  <c r="M561" i="1" s="1"/>
  <c r="E560" i="1"/>
  <c r="I560" i="1" s="1"/>
  <c r="K560" i="1" s="1"/>
  <c r="M560" i="1" s="1"/>
  <c r="E559" i="1"/>
  <c r="I559" i="1" s="1"/>
  <c r="K559" i="1" s="1"/>
  <c r="M559" i="1" s="1"/>
  <c r="E558" i="1"/>
  <c r="I558" i="1" s="1"/>
  <c r="K558" i="1" s="1"/>
  <c r="M558" i="1" s="1"/>
  <c r="E557" i="1"/>
  <c r="I557" i="1" s="1"/>
  <c r="K557" i="1" s="1"/>
  <c r="M557" i="1" s="1"/>
  <c r="E556" i="1"/>
  <c r="I556" i="1" s="1"/>
  <c r="K556" i="1" s="1"/>
  <c r="M556" i="1" s="1"/>
  <c r="E555" i="1"/>
  <c r="I555" i="1" s="1"/>
  <c r="K555" i="1" s="1"/>
  <c r="M555" i="1" s="1"/>
  <c r="E554" i="1"/>
  <c r="I554" i="1" s="1"/>
  <c r="K554" i="1" s="1"/>
  <c r="M554" i="1" s="1"/>
  <c r="E553" i="1"/>
  <c r="I553" i="1" s="1"/>
  <c r="K553" i="1" s="1"/>
  <c r="M553" i="1" s="1"/>
  <c r="E552" i="1"/>
  <c r="I552" i="1" s="1"/>
  <c r="K552" i="1" s="1"/>
  <c r="M552" i="1" s="1"/>
  <c r="E551" i="1"/>
  <c r="I551" i="1" s="1"/>
  <c r="K551" i="1" s="1"/>
  <c r="M551" i="1" s="1"/>
  <c r="E550" i="1"/>
  <c r="I550" i="1" s="1"/>
  <c r="K550" i="1" s="1"/>
  <c r="M550" i="1" s="1"/>
  <c r="E549" i="1"/>
  <c r="I549" i="1" s="1"/>
  <c r="K549" i="1" s="1"/>
  <c r="M549" i="1" s="1"/>
  <c r="E548" i="1"/>
  <c r="I548" i="1" s="1"/>
  <c r="K548" i="1" s="1"/>
  <c r="M548" i="1" s="1"/>
  <c r="E547" i="1"/>
  <c r="I547" i="1" s="1"/>
  <c r="K547" i="1" s="1"/>
  <c r="M547" i="1" s="1"/>
  <c r="E546" i="1"/>
  <c r="I546" i="1" s="1"/>
  <c r="K546" i="1" s="1"/>
  <c r="M546" i="1" s="1"/>
  <c r="E545" i="1"/>
  <c r="I545" i="1" s="1"/>
  <c r="K545" i="1" s="1"/>
  <c r="M545" i="1" s="1"/>
  <c r="E544" i="1"/>
  <c r="I544" i="1" s="1"/>
  <c r="K544" i="1" s="1"/>
  <c r="M544" i="1" s="1"/>
  <c r="E543" i="1"/>
  <c r="I543" i="1" s="1"/>
  <c r="K543" i="1" s="1"/>
  <c r="M543" i="1" s="1"/>
  <c r="E542" i="1"/>
  <c r="I542" i="1" s="1"/>
  <c r="K542" i="1" s="1"/>
  <c r="M542" i="1" s="1"/>
  <c r="M541" i="1"/>
  <c r="E541" i="1"/>
  <c r="E540" i="1"/>
  <c r="I540" i="1" s="1"/>
  <c r="K540" i="1" s="1"/>
  <c r="M540" i="1" s="1"/>
  <c r="E539" i="1"/>
  <c r="I539" i="1" s="1"/>
  <c r="K539" i="1" s="1"/>
  <c r="M539" i="1" s="1"/>
  <c r="E538" i="1"/>
  <c r="I538" i="1" s="1"/>
  <c r="K538" i="1" s="1"/>
  <c r="M538" i="1" s="1"/>
  <c r="E537" i="1"/>
  <c r="I537" i="1" s="1"/>
  <c r="K537" i="1" s="1"/>
  <c r="M537" i="1" s="1"/>
  <c r="E536" i="1"/>
  <c r="I536" i="1" s="1"/>
  <c r="K536" i="1" s="1"/>
  <c r="M536" i="1" s="1"/>
  <c r="E535" i="1"/>
  <c r="I535" i="1" s="1"/>
  <c r="K535" i="1" s="1"/>
  <c r="M535" i="1" s="1"/>
  <c r="E534" i="1"/>
  <c r="I534" i="1" s="1"/>
  <c r="K534" i="1" s="1"/>
  <c r="M534" i="1" s="1"/>
  <c r="E533" i="1"/>
  <c r="I533" i="1" s="1"/>
  <c r="K533" i="1" s="1"/>
  <c r="M533" i="1" s="1"/>
  <c r="E532" i="1"/>
  <c r="I532" i="1" s="1"/>
  <c r="K532" i="1" s="1"/>
  <c r="M532" i="1" s="1"/>
  <c r="E531" i="1"/>
  <c r="I531" i="1" s="1"/>
  <c r="K531" i="1" s="1"/>
  <c r="M531" i="1" s="1"/>
  <c r="E530" i="1"/>
  <c r="I530" i="1" s="1"/>
  <c r="K530" i="1" s="1"/>
  <c r="M530" i="1" s="1"/>
  <c r="E529" i="1"/>
  <c r="I529" i="1" s="1"/>
  <c r="K529" i="1" s="1"/>
  <c r="M529" i="1" s="1"/>
  <c r="E528" i="1"/>
  <c r="I528" i="1" s="1"/>
  <c r="K528" i="1" s="1"/>
  <c r="M528" i="1" s="1"/>
  <c r="E527" i="1"/>
  <c r="I527" i="1" s="1"/>
  <c r="K527" i="1" s="1"/>
  <c r="M527" i="1" s="1"/>
  <c r="E526" i="1"/>
  <c r="I526" i="1" s="1"/>
  <c r="K526" i="1" s="1"/>
  <c r="M526" i="1" s="1"/>
  <c r="E525" i="1"/>
  <c r="I525" i="1" s="1"/>
  <c r="K525" i="1" s="1"/>
  <c r="M525" i="1" s="1"/>
  <c r="E524" i="1"/>
  <c r="I524" i="1" s="1"/>
  <c r="K524" i="1" s="1"/>
  <c r="M524" i="1" s="1"/>
  <c r="E523" i="1"/>
  <c r="I523" i="1" s="1"/>
  <c r="K523" i="1" s="1"/>
  <c r="M523" i="1" s="1"/>
  <c r="E522" i="1"/>
  <c r="I522" i="1" s="1"/>
  <c r="K522" i="1" s="1"/>
  <c r="M522" i="1" s="1"/>
  <c r="E521" i="1"/>
  <c r="I521" i="1" s="1"/>
  <c r="K521" i="1" s="1"/>
  <c r="M521" i="1" s="1"/>
  <c r="E520" i="1"/>
  <c r="I520" i="1" s="1"/>
  <c r="K520" i="1" s="1"/>
  <c r="M520" i="1" s="1"/>
  <c r="E519" i="1"/>
  <c r="I519" i="1" s="1"/>
  <c r="K519" i="1" s="1"/>
  <c r="M519" i="1" s="1"/>
  <c r="E518" i="1"/>
  <c r="I518" i="1" s="1"/>
  <c r="K518" i="1" s="1"/>
  <c r="M518" i="1" s="1"/>
  <c r="E517" i="1"/>
  <c r="I517" i="1" s="1"/>
  <c r="K517" i="1" s="1"/>
  <c r="M517" i="1" s="1"/>
  <c r="E516" i="1"/>
  <c r="I516" i="1" s="1"/>
  <c r="K516" i="1" s="1"/>
  <c r="M516" i="1" s="1"/>
  <c r="E515" i="1"/>
  <c r="I515" i="1" s="1"/>
  <c r="K515" i="1" s="1"/>
  <c r="M515" i="1" s="1"/>
  <c r="E514" i="1"/>
  <c r="I514" i="1" s="1"/>
  <c r="K514" i="1" s="1"/>
  <c r="M514" i="1" s="1"/>
  <c r="E513" i="1"/>
  <c r="I513" i="1" s="1"/>
  <c r="K513" i="1" s="1"/>
  <c r="M513" i="1" s="1"/>
  <c r="E512" i="1"/>
  <c r="I512" i="1" s="1"/>
  <c r="K512" i="1" s="1"/>
  <c r="M512" i="1" s="1"/>
  <c r="E511" i="1"/>
  <c r="I511" i="1" s="1"/>
  <c r="K511" i="1" s="1"/>
  <c r="M511" i="1" s="1"/>
  <c r="E510" i="1"/>
  <c r="I510" i="1" s="1"/>
  <c r="K510" i="1" s="1"/>
  <c r="M510" i="1" s="1"/>
  <c r="E509" i="1"/>
  <c r="I509" i="1" s="1"/>
  <c r="K509" i="1" s="1"/>
  <c r="M509" i="1" s="1"/>
  <c r="E508" i="1"/>
  <c r="I508" i="1" s="1"/>
  <c r="K508" i="1" s="1"/>
  <c r="M508" i="1" s="1"/>
  <c r="E507" i="1"/>
  <c r="I507" i="1" s="1"/>
  <c r="K507" i="1" s="1"/>
  <c r="M507" i="1" s="1"/>
  <c r="E506" i="1"/>
  <c r="I506" i="1" s="1"/>
  <c r="K506" i="1" s="1"/>
  <c r="M506" i="1" s="1"/>
  <c r="E505" i="1"/>
  <c r="I505" i="1" s="1"/>
  <c r="K505" i="1" s="1"/>
  <c r="M505" i="1" s="1"/>
  <c r="E504" i="1"/>
  <c r="I504" i="1" s="1"/>
  <c r="K504" i="1" s="1"/>
  <c r="M504" i="1" s="1"/>
  <c r="E503" i="1"/>
  <c r="I503" i="1" s="1"/>
  <c r="K503" i="1" s="1"/>
  <c r="M503" i="1" s="1"/>
  <c r="E502" i="1"/>
  <c r="I502" i="1" s="1"/>
  <c r="K502" i="1" s="1"/>
  <c r="M502" i="1" s="1"/>
  <c r="E501" i="1"/>
  <c r="I501" i="1" s="1"/>
  <c r="K501" i="1" s="1"/>
  <c r="M501" i="1" s="1"/>
  <c r="E500" i="1"/>
  <c r="I500" i="1" s="1"/>
  <c r="K500" i="1" s="1"/>
  <c r="M500" i="1" s="1"/>
  <c r="E499" i="1"/>
  <c r="I499" i="1" s="1"/>
  <c r="K499" i="1" s="1"/>
  <c r="M499" i="1" s="1"/>
  <c r="E498" i="1"/>
  <c r="I498" i="1" s="1"/>
  <c r="K498" i="1" s="1"/>
  <c r="M498" i="1" s="1"/>
  <c r="E497" i="1"/>
  <c r="I497" i="1" s="1"/>
  <c r="K497" i="1" s="1"/>
  <c r="M497" i="1" s="1"/>
  <c r="E496" i="1"/>
  <c r="I496" i="1" s="1"/>
  <c r="K496" i="1" s="1"/>
  <c r="M496" i="1" s="1"/>
  <c r="E495" i="1"/>
  <c r="I495" i="1" s="1"/>
  <c r="K495" i="1" s="1"/>
  <c r="M495" i="1" s="1"/>
  <c r="E494" i="1"/>
  <c r="I494" i="1" s="1"/>
  <c r="K494" i="1" s="1"/>
  <c r="M494" i="1" s="1"/>
  <c r="E493" i="1"/>
  <c r="I493" i="1" s="1"/>
  <c r="K493" i="1" s="1"/>
  <c r="M493" i="1" s="1"/>
  <c r="E492" i="1"/>
  <c r="I492" i="1" s="1"/>
  <c r="K492" i="1" s="1"/>
  <c r="M492" i="1" s="1"/>
  <c r="E491" i="1"/>
  <c r="I491" i="1" s="1"/>
  <c r="K491" i="1" s="1"/>
  <c r="M491" i="1" s="1"/>
  <c r="E490" i="1"/>
  <c r="I490" i="1" s="1"/>
  <c r="K490" i="1" s="1"/>
  <c r="M490" i="1" s="1"/>
  <c r="E489" i="1"/>
  <c r="I489" i="1" s="1"/>
  <c r="K489" i="1" s="1"/>
  <c r="M489" i="1" s="1"/>
  <c r="E488" i="1"/>
  <c r="I488" i="1" s="1"/>
  <c r="K488" i="1" s="1"/>
  <c r="M488" i="1" s="1"/>
  <c r="E487" i="1"/>
  <c r="I487" i="1" s="1"/>
  <c r="K487" i="1" s="1"/>
  <c r="M487" i="1" s="1"/>
  <c r="E486" i="1"/>
  <c r="I486" i="1" s="1"/>
  <c r="K486" i="1" s="1"/>
  <c r="M486" i="1" s="1"/>
  <c r="E485" i="1"/>
  <c r="I485" i="1" s="1"/>
  <c r="K485" i="1" s="1"/>
  <c r="M485" i="1" s="1"/>
  <c r="E484" i="1"/>
  <c r="I484" i="1" s="1"/>
  <c r="K484" i="1" s="1"/>
  <c r="M484" i="1" s="1"/>
  <c r="E483" i="1"/>
  <c r="I483" i="1" s="1"/>
  <c r="K483" i="1" s="1"/>
  <c r="M483" i="1" s="1"/>
  <c r="E482" i="1"/>
  <c r="I482" i="1" s="1"/>
  <c r="K482" i="1" s="1"/>
  <c r="M482" i="1" s="1"/>
  <c r="E481" i="1"/>
  <c r="I481" i="1" s="1"/>
  <c r="K481" i="1" s="1"/>
  <c r="M481" i="1" s="1"/>
  <c r="E480" i="1"/>
  <c r="I480" i="1" s="1"/>
  <c r="K480" i="1" s="1"/>
  <c r="M480" i="1" s="1"/>
  <c r="E479" i="1"/>
  <c r="I479" i="1" s="1"/>
  <c r="K479" i="1" s="1"/>
  <c r="M479" i="1" s="1"/>
  <c r="E478" i="1"/>
  <c r="I478" i="1" s="1"/>
  <c r="K478" i="1" s="1"/>
  <c r="M478" i="1" s="1"/>
  <c r="E477" i="1"/>
  <c r="I477" i="1" s="1"/>
  <c r="K477" i="1" s="1"/>
  <c r="M477" i="1" s="1"/>
  <c r="E476" i="1"/>
  <c r="I476" i="1" s="1"/>
  <c r="K476" i="1" s="1"/>
  <c r="M476" i="1" s="1"/>
  <c r="E475" i="1"/>
  <c r="I475" i="1" s="1"/>
  <c r="K475" i="1" s="1"/>
  <c r="M475" i="1" s="1"/>
  <c r="E474" i="1"/>
  <c r="I474" i="1" s="1"/>
  <c r="K474" i="1" s="1"/>
  <c r="M474" i="1" s="1"/>
  <c r="E473" i="1"/>
  <c r="I473" i="1" s="1"/>
  <c r="K473" i="1" s="1"/>
  <c r="M473" i="1" s="1"/>
  <c r="E472" i="1"/>
  <c r="I472" i="1" s="1"/>
  <c r="K472" i="1" s="1"/>
  <c r="M472" i="1" s="1"/>
  <c r="E471" i="1"/>
  <c r="I471" i="1" s="1"/>
  <c r="K471" i="1" s="1"/>
  <c r="M471" i="1" s="1"/>
  <c r="E470" i="1"/>
  <c r="I470" i="1" s="1"/>
  <c r="K470" i="1" s="1"/>
  <c r="M470" i="1" s="1"/>
  <c r="E469" i="1"/>
  <c r="I469" i="1" s="1"/>
  <c r="K469" i="1" s="1"/>
  <c r="M469" i="1" s="1"/>
  <c r="E468" i="1"/>
  <c r="I468" i="1" s="1"/>
  <c r="K468" i="1" s="1"/>
  <c r="M468" i="1" s="1"/>
  <c r="E467" i="1"/>
  <c r="I467" i="1" s="1"/>
  <c r="K467" i="1" s="1"/>
  <c r="M467" i="1" s="1"/>
  <c r="E466" i="1"/>
  <c r="I466" i="1" s="1"/>
  <c r="K466" i="1" s="1"/>
  <c r="M466" i="1" s="1"/>
  <c r="E465" i="1"/>
  <c r="I465" i="1" s="1"/>
  <c r="K465" i="1" s="1"/>
  <c r="M465" i="1" s="1"/>
  <c r="E464" i="1"/>
  <c r="I464" i="1" s="1"/>
  <c r="K464" i="1" s="1"/>
  <c r="M464" i="1" s="1"/>
  <c r="E463" i="1"/>
  <c r="I463" i="1" s="1"/>
  <c r="K463" i="1" s="1"/>
  <c r="M463" i="1" s="1"/>
  <c r="E462" i="1"/>
  <c r="I462" i="1" s="1"/>
  <c r="K462" i="1" s="1"/>
  <c r="M462" i="1" s="1"/>
  <c r="E461" i="1"/>
  <c r="I461" i="1" s="1"/>
  <c r="K461" i="1" s="1"/>
  <c r="M461" i="1" s="1"/>
  <c r="E460" i="1"/>
  <c r="I460" i="1" s="1"/>
  <c r="K460" i="1" s="1"/>
  <c r="M460" i="1" s="1"/>
  <c r="E459" i="1"/>
  <c r="I459" i="1" s="1"/>
  <c r="K459" i="1" s="1"/>
  <c r="M459" i="1" s="1"/>
  <c r="E458" i="1"/>
  <c r="I458" i="1" s="1"/>
  <c r="K458" i="1" s="1"/>
  <c r="M458" i="1" s="1"/>
  <c r="E457" i="1"/>
  <c r="I457" i="1" s="1"/>
  <c r="K457" i="1" s="1"/>
  <c r="M457" i="1" s="1"/>
  <c r="E456" i="1"/>
  <c r="I456" i="1" s="1"/>
  <c r="K456" i="1" s="1"/>
  <c r="M456" i="1" s="1"/>
  <c r="E455" i="1"/>
  <c r="I455" i="1" s="1"/>
  <c r="K455" i="1" s="1"/>
  <c r="M455" i="1" s="1"/>
  <c r="E454" i="1"/>
  <c r="I454" i="1" s="1"/>
  <c r="K454" i="1" s="1"/>
  <c r="M454" i="1" s="1"/>
  <c r="E453" i="1"/>
  <c r="I453" i="1" s="1"/>
  <c r="K453" i="1" s="1"/>
  <c r="M453" i="1" s="1"/>
  <c r="E452" i="1"/>
  <c r="I452" i="1" s="1"/>
  <c r="K452" i="1" s="1"/>
  <c r="M452" i="1" s="1"/>
  <c r="E451" i="1"/>
  <c r="I451" i="1" s="1"/>
  <c r="K451" i="1" s="1"/>
  <c r="M451" i="1" s="1"/>
  <c r="E450" i="1"/>
  <c r="I450" i="1" s="1"/>
  <c r="K450" i="1" s="1"/>
  <c r="M450" i="1" s="1"/>
  <c r="E449" i="1"/>
  <c r="I449" i="1" s="1"/>
  <c r="K449" i="1" s="1"/>
  <c r="M449" i="1" s="1"/>
  <c r="E448" i="1"/>
  <c r="I448" i="1" s="1"/>
  <c r="K448" i="1" s="1"/>
  <c r="M448" i="1" s="1"/>
  <c r="E447" i="1"/>
  <c r="I447" i="1" s="1"/>
  <c r="K447" i="1" s="1"/>
  <c r="M447" i="1" s="1"/>
  <c r="E446" i="1"/>
  <c r="I446" i="1" s="1"/>
  <c r="K446" i="1" s="1"/>
  <c r="M446" i="1" s="1"/>
  <c r="E445" i="1"/>
  <c r="I445" i="1" s="1"/>
  <c r="K445" i="1" s="1"/>
  <c r="M445" i="1" s="1"/>
  <c r="E444" i="1"/>
  <c r="I444" i="1" s="1"/>
  <c r="K444" i="1" s="1"/>
  <c r="M444" i="1" s="1"/>
  <c r="E443" i="1"/>
  <c r="I443" i="1" s="1"/>
  <c r="K443" i="1" s="1"/>
  <c r="M443" i="1" s="1"/>
  <c r="E442" i="1"/>
  <c r="I442" i="1" s="1"/>
  <c r="K442" i="1" s="1"/>
  <c r="M442" i="1" s="1"/>
  <c r="E441" i="1"/>
  <c r="I441" i="1" s="1"/>
  <c r="K441" i="1" s="1"/>
  <c r="M441" i="1" s="1"/>
  <c r="E440" i="1"/>
  <c r="I440" i="1" s="1"/>
  <c r="K440" i="1" s="1"/>
  <c r="M440" i="1" s="1"/>
  <c r="E439" i="1"/>
  <c r="I439" i="1" s="1"/>
  <c r="K439" i="1" s="1"/>
  <c r="M439" i="1" s="1"/>
  <c r="E438" i="1"/>
  <c r="I438" i="1" s="1"/>
  <c r="K438" i="1" s="1"/>
  <c r="M438" i="1" s="1"/>
  <c r="E437" i="1"/>
  <c r="I437" i="1" s="1"/>
  <c r="K437" i="1" s="1"/>
  <c r="M437" i="1" s="1"/>
  <c r="E436" i="1"/>
  <c r="I436" i="1" s="1"/>
  <c r="K436" i="1" s="1"/>
  <c r="M436" i="1" s="1"/>
  <c r="E435" i="1"/>
  <c r="I435" i="1" s="1"/>
  <c r="K435" i="1" s="1"/>
  <c r="M435" i="1" s="1"/>
  <c r="E434" i="1"/>
  <c r="I434" i="1" s="1"/>
  <c r="K434" i="1" s="1"/>
  <c r="M434" i="1" s="1"/>
  <c r="E433" i="1"/>
  <c r="I433" i="1" s="1"/>
  <c r="K433" i="1" s="1"/>
  <c r="M433" i="1" s="1"/>
  <c r="E432" i="1"/>
  <c r="I432" i="1" s="1"/>
  <c r="K432" i="1" s="1"/>
  <c r="M432" i="1" s="1"/>
  <c r="E431" i="1"/>
  <c r="I431" i="1" s="1"/>
  <c r="K431" i="1" s="1"/>
  <c r="M431" i="1" s="1"/>
  <c r="E430" i="1"/>
  <c r="I430" i="1" s="1"/>
  <c r="K430" i="1" s="1"/>
  <c r="M430" i="1" s="1"/>
  <c r="E429" i="1"/>
  <c r="I429" i="1" s="1"/>
  <c r="K429" i="1" s="1"/>
  <c r="M429" i="1" s="1"/>
  <c r="E428" i="1"/>
  <c r="I428" i="1" s="1"/>
  <c r="K428" i="1" s="1"/>
  <c r="M428" i="1" s="1"/>
  <c r="E427" i="1"/>
  <c r="I427" i="1" s="1"/>
  <c r="K427" i="1" s="1"/>
  <c r="M427" i="1" s="1"/>
  <c r="E426" i="1"/>
  <c r="I426" i="1" s="1"/>
  <c r="K426" i="1" s="1"/>
  <c r="M426" i="1" s="1"/>
  <c r="E425" i="1"/>
  <c r="I425" i="1" s="1"/>
  <c r="K425" i="1" s="1"/>
  <c r="M425" i="1" s="1"/>
  <c r="E424" i="1"/>
  <c r="I424" i="1" s="1"/>
  <c r="K424" i="1" s="1"/>
  <c r="M424" i="1" s="1"/>
  <c r="E423" i="1"/>
  <c r="I423" i="1" s="1"/>
  <c r="K423" i="1" s="1"/>
  <c r="M423" i="1" s="1"/>
  <c r="I422" i="1"/>
  <c r="K422" i="1" s="1"/>
  <c r="M422" i="1" s="1"/>
  <c r="E421" i="1"/>
  <c r="I421" i="1" s="1"/>
  <c r="K421" i="1" s="1"/>
  <c r="M421" i="1" s="1"/>
  <c r="E420" i="1"/>
  <c r="I420" i="1" s="1"/>
  <c r="K420" i="1" s="1"/>
  <c r="M420" i="1" s="1"/>
  <c r="I419" i="1"/>
  <c r="K419" i="1" s="1"/>
  <c r="M419" i="1" s="1"/>
  <c r="E418" i="1"/>
  <c r="I418" i="1" s="1"/>
  <c r="K418" i="1" s="1"/>
  <c r="M418" i="1" s="1"/>
  <c r="I417" i="1"/>
  <c r="K417" i="1" s="1"/>
  <c r="M417" i="1" s="1"/>
  <c r="E416" i="1"/>
  <c r="I416" i="1" s="1"/>
  <c r="K416" i="1" s="1"/>
  <c r="M416" i="1" s="1"/>
  <c r="E415" i="1"/>
  <c r="I415" i="1" s="1"/>
  <c r="K415" i="1" s="1"/>
  <c r="M415" i="1" s="1"/>
  <c r="E414" i="1"/>
  <c r="I414" i="1" s="1"/>
  <c r="K414" i="1" s="1"/>
  <c r="M414" i="1" s="1"/>
  <c r="E413" i="1"/>
  <c r="I413" i="1" s="1"/>
  <c r="K413" i="1" s="1"/>
  <c r="M413" i="1" s="1"/>
  <c r="E412" i="1"/>
  <c r="I412" i="1" s="1"/>
  <c r="K412" i="1" s="1"/>
  <c r="M412" i="1" s="1"/>
  <c r="E411" i="1"/>
  <c r="I411" i="1" s="1"/>
  <c r="K411" i="1" s="1"/>
  <c r="M411" i="1" s="1"/>
  <c r="E410" i="1"/>
  <c r="I410" i="1" s="1"/>
  <c r="K410" i="1" s="1"/>
  <c r="M410" i="1" s="1"/>
  <c r="E409" i="1"/>
  <c r="I409" i="1" s="1"/>
  <c r="K409" i="1" s="1"/>
  <c r="M409" i="1" s="1"/>
  <c r="E408" i="1"/>
  <c r="I408" i="1" s="1"/>
  <c r="K408" i="1" s="1"/>
  <c r="M408" i="1" s="1"/>
  <c r="E407" i="1"/>
  <c r="I407" i="1" s="1"/>
  <c r="K407" i="1" s="1"/>
  <c r="M407" i="1" s="1"/>
  <c r="E406" i="1"/>
  <c r="I406" i="1" s="1"/>
  <c r="K406" i="1" s="1"/>
  <c r="M406" i="1" s="1"/>
  <c r="E405" i="1"/>
  <c r="I405" i="1" s="1"/>
  <c r="K405" i="1" s="1"/>
  <c r="M405" i="1" s="1"/>
  <c r="E404" i="1"/>
  <c r="I404" i="1" s="1"/>
  <c r="K404" i="1" s="1"/>
  <c r="M404" i="1" s="1"/>
  <c r="E403" i="1"/>
  <c r="I403" i="1" s="1"/>
  <c r="K403" i="1" s="1"/>
  <c r="M403" i="1" s="1"/>
  <c r="E402" i="1"/>
  <c r="I402" i="1" s="1"/>
  <c r="K402" i="1" s="1"/>
  <c r="M402" i="1" s="1"/>
  <c r="E401" i="1"/>
  <c r="I401" i="1" s="1"/>
  <c r="K401" i="1" s="1"/>
  <c r="M401" i="1" s="1"/>
  <c r="E400" i="1"/>
  <c r="I400" i="1" s="1"/>
  <c r="K400" i="1" s="1"/>
  <c r="M400" i="1" s="1"/>
  <c r="E399" i="1"/>
  <c r="I399" i="1" s="1"/>
  <c r="K399" i="1" s="1"/>
  <c r="M399" i="1" s="1"/>
  <c r="E398" i="1"/>
  <c r="I398" i="1" s="1"/>
  <c r="K398" i="1" s="1"/>
  <c r="M398" i="1" s="1"/>
  <c r="E397" i="1"/>
  <c r="I397" i="1" s="1"/>
  <c r="K397" i="1" s="1"/>
  <c r="M397" i="1" s="1"/>
  <c r="E396" i="1"/>
  <c r="L389" i="1"/>
  <c r="J389" i="1"/>
  <c r="H389" i="1"/>
  <c r="D389" i="1"/>
  <c r="C389" i="1"/>
  <c r="E388" i="1"/>
  <c r="I388" i="1" s="1"/>
  <c r="K388" i="1" s="1"/>
  <c r="M388" i="1" s="1"/>
  <c r="E387" i="1"/>
  <c r="I387" i="1" s="1"/>
  <c r="K387" i="1" s="1"/>
  <c r="M387" i="1" s="1"/>
  <c r="E386" i="1"/>
  <c r="I386" i="1" s="1"/>
  <c r="K386" i="1" s="1"/>
  <c r="M386" i="1" s="1"/>
  <c r="E385" i="1"/>
  <c r="I385" i="1" s="1"/>
  <c r="K385" i="1" s="1"/>
  <c r="M385" i="1" s="1"/>
  <c r="E384" i="1"/>
  <c r="I384" i="1" s="1"/>
  <c r="K384" i="1" s="1"/>
  <c r="M384" i="1" s="1"/>
  <c r="E383" i="1"/>
  <c r="I383" i="1" s="1"/>
  <c r="K383" i="1" s="1"/>
  <c r="M383" i="1" s="1"/>
  <c r="E382" i="1"/>
  <c r="I382" i="1" s="1"/>
  <c r="K382" i="1" s="1"/>
  <c r="M382" i="1" s="1"/>
  <c r="E381" i="1"/>
  <c r="I381" i="1" s="1"/>
  <c r="K381" i="1" s="1"/>
  <c r="M381" i="1" s="1"/>
  <c r="E380" i="1"/>
  <c r="I380" i="1" s="1"/>
  <c r="K380" i="1" s="1"/>
  <c r="M380" i="1" s="1"/>
  <c r="E379" i="1"/>
  <c r="I379" i="1" s="1"/>
  <c r="K379" i="1" s="1"/>
  <c r="M379" i="1" s="1"/>
  <c r="E378" i="1"/>
  <c r="I378" i="1" s="1"/>
  <c r="K378" i="1" s="1"/>
  <c r="M378" i="1" s="1"/>
  <c r="E377" i="1"/>
  <c r="I377" i="1" s="1"/>
  <c r="K377" i="1" s="1"/>
  <c r="M377" i="1" s="1"/>
  <c r="E376" i="1"/>
  <c r="I376" i="1" s="1"/>
  <c r="K376" i="1" s="1"/>
  <c r="M376" i="1" s="1"/>
  <c r="E375" i="1"/>
  <c r="I375" i="1" s="1"/>
  <c r="K375" i="1" s="1"/>
  <c r="M375" i="1" s="1"/>
  <c r="E374" i="1"/>
  <c r="I374" i="1" s="1"/>
  <c r="K374" i="1" s="1"/>
  <c r="M374" i="1" s="1"/>
  <c r="E373" i="1"/>
  <c r="I373" i="1" s="1"/>
  <c r="K373" i="1" s="1"/>
  <c r="M373" i="1" s="1"/>
  <c r="E372" i="1"/>
  <c r="I372" i="1" s="1"/>
  <c r="K372" i="1" s="1"/>
  <c r="M372" i="1" s="1"/>
  <c r="E371" i="1"/>
  <c r="I371" i="1" s="1"/>
  <c r="K371" i="1" s="1"/>
  <c r="M371" i="1" s="1"/>
  <c r="E370" i="1"/>
  <c r="I370" i="1" s="1"/>
  <c r="K370" i="1" s="1"/>
  <c r="M370" i="1" s="1"/>
  <c r="E369" i="1"/>
  <c r="I369" i="1" s="1"/>
  <c r="K369" i="1" s="1"/>
  <c r="M369" i="1" s="1"/>
  <c r="E368" i="1"/>
  <c r="I368" i="1" s="1"/>
  <c r="K368" i="1" s="1"/>
  <c r="M368" i="1" s="1"/>
  <c r="E367" i="1"/>
  <c r="I367" i="1" s="1"/>
  <c r="K367" i="1" s="1"/>
  <c r="M367" i="1" s="1"/>
  <c r="E366" i="1"/>
  <c r="I366" i="1" s="1"/>
  <c r="K366" i="1" s="1"/>
  <c r="M366" i="1" s="1"/>
  <c r="E365" i="1"/>
  <c r="I365" i="1" s="1"/>
  <c r="K365" i="1" s="1"/>
  <c r="M365" i="1" s="1"/>
  <c r="E364" i="1"/>
  <c r="I364" i="1" s="1"/>
  <c r="K364" i="1" s="1"/>
  <c r="M364" i="1" s="1"/>
  <c r="E363" i="1"/>
  <c r="I363" i="1" s="1"/>
  <c r="K363" i="1" s="1"/>
  <c r="M363" i="1" s="1"/>
  <c r="E362" i="1"/>
  <c r="I362" i="1" s="1"/>
  <c r="K362" i="1" s="1"/>
  <c r="M362" i="1" s="1"/>
  <c r="E361" i="1"/>
  <c r="I361" i="1" s="1"/>
  <c r="K361" i="1" s="1"/>
  <c r="M361" i="1" s="1"/>
  <c r="E360" i="1"/>
  <c r="I360" i="1" s="1"/>
  <c r="K360" i="1" s="1"/>
  <c r="M360" i="1" s="1"/>
  <c r="E359" i="1"/>
  <c r="I359" i="1" s="1"/>
  <c r="K359" i="1" s="1"/>
  <c r="M359" i="1" s="1"/>
  <c r="E358" i="1"/>
  <c r="I358" i="1" s="1"/>
  <c r="K358" i="1" s="1"/>
  <c r="M358" i="1" s="1"/>
  <c r="E357" i="1"/>
  <c r="I357" i="1" s="1"/>
  <c r="K357" i="1" s="1"/>
  <c r="M357" i="1" s="1"/>
  <c r="E356" i="1"/>
  <c r="I356" i="1" s="1"/>
  <c r="K356" i="1" s="1"/>
  <c r="M356" i="1" s="1"/>
  <c r="E355" i="1"/>
  <c r="I355" i="1" s="1"/>
  <c r="K355" i="1" s="1"/>
  <c r="M355" i="1" s="1"/>
  <c r="E354" i="1"/>
  <c r="I354" i="1" s="1"/>
  <c r="K354" i="1" s="1"/>
  <c r="M354" i="1" s="1"/>
  <c r="E353" i="1"/>
  <c r="I353" i="1" s="1"/>
  <c r="K353" i="1" s="1"/>
  <c r="M353" i="1" s="1"/>
  <c r="E352" i="1"/>
  <c r="I352" i="1" s="1"/>
  <c r="K352" i="1" s="1"/>
  <c r="M352" i="1" s="1"/>
  <c r="E351" i="1"/>
  <c r="I351" i="1" s="1"/>
  <c r="K351" i="1" s="1"/>
  <c r="M351" i="1" s="1"/>
  <c r="E350" i="1"/>
  <c r="I350" i="1" s="1"/>
  <c r="K350" i="1" s="1"/>
  <c r="M350" i="1" s="1"/>
  <c r="E349" i="1"/>
  <c r="I349" i="1" s="1"/>
  <c r="K349" i="1" s="1"/>
  <c r="M349" i="1" s="1"/>
  <c r="E348" i="1"/>
  <c r="I348" i="1" s="1"/>
  <c r="K348" i="1" s="1"/>
  <c r="M348" i="1" s="1"/>
  <c r="E347" i="1"/>
  <c r="I347" i="1" s="1"/>
  <c r="K347" i="1" s="1"/>
  <c r="M347" i="1" s="1"/>
  <c r="E346" i="1"/>
  <c r="I346" i="1" s="1"/>
  <c r="K346" i="1" s="1"/>
  <c r="M346" i="1" s="1"/>
  <c r="E345" i="1"/>
  <c r="I345" i="1" s="1"/>
  <c r="K345" i="1" s="1"/>
  <c r="M345" i="1" s="1"/>
  <c r="E344" i="1"/>
  <c r="I344" i="1" s="1"/>
  <c r="K344" i="1" s="1"/>
  <c r="M344" i="1" s="1"/>
  <c r="E343" i="1"/>
  <c r="I343" i="1" s="1"/>
  <c r="K343" i="1" s="1"/>
  <c r="M343" i="1" s="1"/>
  <c r="E342" i="1"/>
  <c r="I342" i="1" s="1"/>
  <c r="K342" i="1" s="1"/>
  <c r="M342" i="1" s="1"/>
  <c r="E341" i="1"/>
  <c r="I341" i="1" s="1"/>
  <c r="K341" i="1" s="1"/>
  <c r="M341" i="1" s="1"/>
  <c r="E340" i="1"/>
  <c r="I340" i="1" s="1"/>
  <c r="K340" i="1" s="1"/>
  <c r="M340" i="1" s="1"/>
  <c r="E339" i="1"/>
  <c r="I339" i="1" s="1"/>
  <c r="K339" i="1" s="1"/>
  <c r="M339" i="1" s="1"/>
  <c r="E338" i="1"/>
  <c r="I338" i="1" s="1"/>
  <c r="K338" i="1" s="1"/>
  <c r="M338" i="1" s="1"/>
  <c r="E337" i="1"/>
  <c r="I337" i="1" s="1"/>
  <c r="K337" i="1" s="1"/>
  <c r="M337" i="1" s="1"/>
  <c r="E336" i="1"/>
  <c r="I336" i="1" s="1"/>
  <c r="K336" i="1" s="1"/>
  <c r="M336" i="1" s="1"/>
  <c r="E335" i="1"/>
  <c r="I335" i="1" s="1"/>
  <c r="K335" i="1" s="1"/>
  <c r="M335" i="1" s="1"/>
  <c r="E334" i="1"/>
  <c r="I334" i="1" s="1"/>
  <c r="K334" i="1" s="1"/>
  <c r="M334" i="1" s="1"/>
  <c r="E333" i="1"/>
  <c r="I333" i="1" s="1"/>
  <c r="K333" i="1" s="1"/>
  <c r="M333" i="1" s="1"/>
  <c r="E332" i="1"/>
  <c r="I332" i="1" s="1"/>
  <c r="K332" i="1" s="1"/>
  <c r="M332" i="1" s="1"/>
  <c r="E331" i="1"/>
  <c r="I331" i="1" s="1"/>
  <c r="K331" i="1" s="1"/>
  <c r="M331" i="1" s="1"/>
  <c r="E330" i="1"/>
  <c r="I330" i="1" s="1"/>
  <c r="K330" i="1" s="1"/>
  <c r="M330" i="1" s="1"/>
  <c r="E329" i="1"/>
  <c r="I329" i="1" s="1"/>
  <c r="K329" i="1" s="1"/>
  <c r="M329" i="1" s="1"/>
  <c r="E328" i="1"/>
  <c r="I328" i="1" s="1"/>
  <c r="K328" i="1" s="1"/>
  <c r="M328" i="1" s="1"/>
  <c r="E327" i="1"/>
  <c r="I327" i="1" s="1"/>
  <c r="K327" i="1" s="1"/>
  <c r="M327" i="1" s="1"/>
  <c r="E326" i="1"/>
  <c r="I326" i="1" s="1"/>
  <c r="K326" i="1" s="1"/>
  <c r="M326" i="1" s="1"/>
  <c r="E325" i="1"/>
  <c r="I325" i="1" s="1"/>
  <c r="K325" i="1" s="1"/>
  <c r="M325" i="1" s="1"/>
  <c r="E324" i="1"/>
  <c r="I324" i="1" s="1"/>
  <c r="K324" i="1" s="1"/>
  <c r="M324" i="1" s="1"/>
  <c r="E323" i="1"/>
  <c r="I323" i="1" s="1"/>
  <c r="K323" i="1" s="1"/>
  <c r="M323" i="1" s="1"/>
  <c r="E322" i="1"/>
  <c r="I322" i="1" s="1"/>
  <c r="K322" i="1" s="1"/>
  <c r="M322" i="1" s="1"/>
  <c r="E321" i="1"/>
  <c r="I321" i="1" s="1"/>
  <c r="K321" i="1" s="1"/>
  <c r="M321" i="1" s="1"/>
  <c r="E320" i="1"/>
  <c r="I320" i="1" s="1"/>
  <c r="K320" i="1" s="1"/>
  <c r="M320" i="1" s="1"/>
  <c r="E319" i="1"/>
  <c r="I319" i="1" s="1"/>
  <c r="K319" i="1" s="1"/>
  <c r="M319" i="1" s="1"/>
  <c r="E318" i="1"/>
  <c r="I318" i="1" s="1"/>
  <c r="K318" i="1" s="1"/>
  <c r="M318" i="1" s="1"/>
  <c r="E317" i="1"/>
  <c r="I317" i="1" s="1"/>
  <c r="K317" i="1" s="1"/>
  <c r="M317" i="1" s="1"/>
  <c r="E316" i="1"/>
  <c r="I316" i="1" s="1"/>
  <c r="K316" i="1" s="1"/>
  <c r="M316" i="1" s="1"/>
  <c r="E315" i="1"/>
  <c r="I315" i="1" s="1"/>
  <c r="K315" i="1" s="1"/>
  <c r="M315" i="1" s="1"/>
  <c r="E314" i="1"/>
  <c r="I314" i="1" s="1"/>
  <c r="K314" i="1" s="1"/>
  <c r="M314" i="1" s="1"/>
  <c r="E313" i="1"/>
  <c r="I313" i="1" s="1"/>
  <c r="K313" i="1" s="1"/>
  <c r="M313" i="1" s="1"/>
  <c r="E312" i="1"/>
  <c r="I312" i="1" s="1"/>
  <c r="K312" i="1" s="1"/>
  <c r="M312" i="1" s="1"/>
  <c r="E311" i="1"/>
  <c r="I311" i="1" s="1"/>
  <c r="K311" i="1" s="1"/>
  <c r="M311" i="1" s="1"/>
  <c r="E310" i="1"/>
  <c r="I310" i="1" s="1"/>
  <c r="K310" i="1" s="1"/>
  <c r="M310" i="1" s="1"/>
  <c r="E309" i="1"/>
  <c r="I309" i="1" s="1"/>
  <c r="K309" i="1" s="1"/>
  <c r="M309" i="1" s="1"/>
  <c r="E308" i="1"/>
  <c r="I308" i="1" s="1"/>
  <c r="K308" i="1" s="1"/>
  <c r="M308" i="1" s="1"/>
  <c r="E307" i="1"/>
  <c r="I307" i="1" s="1"/>
  <c r="K307" i="1" s="1"/>
  <c r="M307" i="1" s="1"/>
  <c r="E306" i="1"/>
  <c r="I306" i="1" s="1"/>
  <c r="K306" i="1" s="1"/>
  <c r="M306" i="1" s="1"/>
  <c r="E305" i="1"/>
  <c r="I305" i="1" s="1"/>
  <c r="K305" i="1" s="1"/>
  <c r="M305" i="1" s="1"/>
  <c r="E304" i="1"/>
  <c r="I304" i="1" s="1"/>
  <c r="K304" i="1" s="1"/>
  <c r="M304" i="1" s="1"/>
  <c r="E303" i="1"/>
  <c r="I303" i="1" s="1"/>
  <c r="K303" i="1" s="1"/>
  <c r="M303" i="1" s="1"/>
  <c r="E302" i="1"/>
  <c r="I302" i="1" s="1"/>
  <c r="K302" i="1" s="1"/>
  <c r="M302" i="1" s="1"/>
  <c r="E301" i="1"/>
  <c r="I301" i="1" s="1"/>
  <c r="K301" i="1" s="1"/>
  <c r="M301" i="1" s="1"/>
  <c r="E300" i="1"/>
  <c r="I300" i="1" s="1"/>
  <c r="K300" i="1" s="1"/>
  <c r="M300" i="1" s="1"/>
  <c r="E299" i="1"/>
  <c r="I299" i="1" s="1"/>
  <c r="K299" i="1" s="1"/>
  <c r="M299" i="1" s="1"/>
  <c r="E298" i="1"/>
  <c r="I298" i="1" s="1"/>
  <c r="K298" i="1" s="1"/>
  <c r="M298" i="1" s="1"/>
  <c r="E297" i="1"/>
  <c r="I297" i="1" s="1"/>
  <c r="K297" i="1" s="1"/>
  <c r="M297" i="1" s="1"/>
  <c r="E296" i="1"/>
  <c r="I296" i="1" s="1"/>
  <c r="K296" i="1" s="1"/>
  <c r="M296" i="1" s="1"/>
  <c r="E295" i="1"/>
  <c r="I295" i="1" s="1"/>
  <c r="K295" i="1" s="1"/>
  <c r="M295" i="1" s="1"/>
  <c r="E294" i="1"/>
  <c r="I294" i="1" s="1"/>
  <c r="K294" i="1" s="1"/>
  <c r="M294" i="1" s="1"/>
  <c r="E293" i="1"/>
  <c r="I293" i="1" s="1"/>
  <c r="K293" i="1" s="1"/>
  <c r="M293" i="1" s="1"/>
  <c r="E292" i="1"/>
  <c r="I292" i="1" s="1"/>
  <c r="K292" i="1" s="1"/>
  <c r="M292" i="1" s="1"/>
  <c r="E291" i="1"/>
  <c r="I291" i="1" s="1"/>
  <c r="K291" i="1" s="1"/>
  <c r="M291" i="1" s="1"/>
  <c r="E290" i="1"/>
  <c r="I290" i="1" s="1"/>
  <c r="K290" i="1" s="1"/>
  <c r="M290" i="1" s="1"/>
  <c r="E289" i="1"/>
  <c r="I289" i="1" s="1"/>
  <c r="K289" i="1" s="1"/>
  <c r="M289" i="1" s="1"/>
  <c r="E288" i="1"/>
  <c r="I288" i="1" s="1"/>
  <c r="K288" i="1" s="1"/>
  <c r="M288" i="1" s="1"/>
  <c r="E287" i="1"/>
  <c r="I287" i="1" s="1"/>
  <c r="K287" i="1" s="1"/>
  <c r="M287" i="1" s="1"/>
  <c r="E286" i="1"/>
  <c r="I286" i="1" s="1"/>
  <c r="K286" i="1" s="1"/>
  <c r="M286" i="1" s="1"/>
  <c r="E285" i="1"/>
  <c r="I285" i="1" s="1"/>
  <c r="K285" i="1" s="1"/>
  <c r="M285" i="1" s="1"/>
  <c r="E284" i="1"/>
  <c r="I284" i="1" s="1"/>
  <c r="K284" i="1" s="1"/>
  <c r="M284" i="1" s="1"/>
  <c r="E283" i="1"/>
  <c r="I283" i="1" s="1"/>
  <c r="K283" i="1" s="1"/>
  <c r="M283" i="1" s="1"/>
  <c r="E282" i="1"/>
  <c r="I282" i="1" s="1"/>
  <c r="K282" i="1" s="1"/>
  <c r="M282" i="1" s="1"/>
  <c r="E281" i="1"/>
  <c r="I281" i="1" s="1"/>
  <c r="K281" i="1" s="1"/>
  <c r="M281" i="1" s="1"/>
  <c r="E280" i="1"/>
  <c r="I280" i="1" s="1"/>
  <c r="K280" i="1" s="1"/>
  <c r="M280" i="1" s="1"/>
  <c r="E279" i="1"/>
  <c r="I279" i="1" s="1"/>
  <c r="K279" i="1" s="1"/>
  <c r="M279" i="1" s="1"/>
  <c r="E278" i="1"/>
  <c r="I278" i="1" s="1"/>
  <c r="K278" i="1" s="1"/>
  <c r="M278" i="1" s="1"/>
  <c r="E277" i="1"/>
  <c r="I277" i="1" s="1"/>
  <c r="K277" i="1" s="1"/>
  <c r="M277" i="1" s="1"/>
  <c r="E276" i="1"/>
  <c r="I276" i="1" s="1"/>
  <c r="K276" i="1" s="1"/>
  <c r="M276" i="1" s="1"/>
  <c r="E275" i="1"/>
  <c r="I275" i="1" s="1"/>
  <c r="K275" i="1" s="1"/>
  <c r="M275" i="1" s="1"/>
  <c r="E274" i="1"/>
  <c r="I274" i="1" s="1"/>
  <c r="K274" i="1" s="1"/>
  <c r="M274" i="1" s="1"/>
  <c r="E273" i="1"/>
  <c r="I273" i="1" s="1"/>
  <c r="K273" i="1" s="1"/>
  <c r="M273" i="1" s="1"/>
  <c r="E272" i="1"/>
  <c r="I272" i="1" s="1"/>
  <c r="K272" i="1" s="1"/>
  <c r="M272" i="1" s="1"/>
  <c r="E271" i="1"/>
  <c r="I271" i="1" s="1"/>
  <c r="K271" i="1" s="1"/>
  <c r="M271" i="1" s="1"/>
  <c r="E270" i="1"/>
  <c r="I270" i="1" s="1"/>
  <c r="K270" i="1" s="1"/>
  <c r="M270" i="1" s="1"/>
  <c r="E269" i="1"/>
  <c r="I269" i="1" s="1"/>
  <c r="K269" i="1" s="1"/>
  <c r="M269" i="1" s="1"/>
  <c r="E268" i="1"/>
  <c r="I268" i="1" s="1"/>
  <c r="K268" i="1" s="1"/>
  <c r="M268" i="1" s="1"/>
  <c r="E267" i="1"/>
  <c r="I267" i="1" s="1"/>
  <c r="K267" i="1" s="1"/>
  <c r="M267" i="1" s="1"/>
  <c r="E266" i="1"/>
  <c r="I266" i="1" s="1"/>
  <c r="K266" i="1" s="1"/>
  <c r="M266" i="1" s="1"/>
  <c r="E265" i="1"/>
  <c r="I265" i="1" s="1"/>
  <c r="K265" i="1" s="1"/>
  <c r="M265" i="1" s="1"/>
  <c r="E264" i="1"/>
  <c r="I264" i="1" s="1"/>
  <c r="K264" i="1" s="1"/>
  <c r="M264" i="1" s="1"/>
  <c r="E263" i="1"/>
  <c r="I263" i="1" s="1"/>
  <c r="K263" i="1" s="1"/>
  <c r="M263" i="1" s="1"/>
  <c r="E262" i="1"/>
  <c r="I262" i="1" s="1"/>
  <c r="K262" i="1" s="1"/>
  <c r="M262" i="1" s="1"/>
  <c r="E261" i="1"/>
  <c r="I261" i="1" s="1"/>
  <c r="K261" i="1" s="1"/>
  <c r="M261" i="1" s="1"/>
  <c r="E260" i="1"/>
  <c r="I260" i="1" s="1"/>
  <c r="K260" i="1" s="1"/>
  <c r="M260" i="1" s="1"/>
  <c r="E259" i="1"/>
  <c r="I259" i="1" s="1"/>
  <c r="K259" i="1" s="1"/>
  <c r="M259" i="1" s="1"/>
  <c r="E258" i="1"/>
  <c r="I258" i="1" s="1"/>
  <c r="K258" i="1" s="1"/>
  <c r="M258" i="1" s="1"/>
  <c r="E257" i="1"/>
  <c r="I257" i="1" s="1"/>
  <c r="K257" i="1" s="1"/>
  <c r="M257" i="1" s="1"/>
  <c r="E256" i="1"/>
  <c r="I256" i="1" s="1"/>
  <c r="K256" i="1" s="1"/>
  <c r="M256" i="1" s="1"/>
  <c r="E255" i="1"/>
  <c r="I255" i="1" s="1"/>
  <c r="K255" i="1" s="1"/>
  <c r="M255" i="1" s="1"/>
  <c r="E254" i="1"/>
  <c r="I254" i="1" s="1"/>
  <c r="K254" i="1" s="1"/>
  <c r="M254" i="1" s="1"/>
  <c r="E253" i="1"/>
  <c r="I253" i="1" s="1"/>
  <c r="K253" i="1" s="1"/>
  <c r="M253" i="1" s="1"/>
  <c r="E252" i="1"/>
  <c r="I252" i="1" s="1"/>
  <c r="K252" i="1" s="1"/>
  <c r="M252" i="1" s="1"/>
  <c r="E251" i="1"/>
  <c r="I251" i="1" s="1"/>
  <c r="K251" i="1" s="1"/>
  <c r="M251" i="1" s="1"/>
  <c r="E250" i="1"/>
  <c r="I250" i="1" s="1"/>
  <c r="K250" i="1" s="1"/>
  <c r="M250" i="1" s="1"/>
  <c r="E249" i="1"/>
  <c r="I249" i="1" s="1"/>
  <c r="K249" i="1" s="1"/>
  <c r="M249" i="1" s="1"/>
  <c r="E248" i="1"/>
  <c r="I248" i="1" s="1"/>
  <c r="K248" i="1" s="1"/>
  <c r="M248" i="1" s="1"/>
  <c r="E247" i="1"/>
  <c r="I247" i="1" s="1"/>
  <c r="K247" i="1" s="1"/>
  <c r="M247" i="1" s="1"/>
  <c r="E246" i="1"/>
  <c r="I246" i="1" s="1"/>
  <c r="K246" i="1" s="1"/>
  <c r="M246" i="1" s="1"/>
  <c r="E245" i="1"/>
  <c r="I245" i="1" s="1"/>
  <c r="K245" i="1" s="1"/>
  <c r="M245" i="1" s="1"/>
  <c r="E244" i="1"/>
  <c r="I244" i="1" s="1"/>
  <c r="K244" i="1" s="1"/>
  <c r="M244" i="1" s="1"/>
  <c r="E243" i="1"/>
  <c r="I243" i="1" s="1"/>
  <c r="K243" i="1" s="1"/>
  <c r="M243" i="1" s="1"/>
  <c r="E242" i="1"/>
  <c r="I242" i="1" s="1"/>
  <c r="K242" i="1" s="1"/>
  <c r="M242" i="1" s="1"/>
  <c r="E241" i="1"/>
  <c r="I241" i="1" s="1"/>
  <c r="K241" i="1" s="1"/>
  <c r="M241" i="1" s="1"/>
  <c r="E240" i="1"/>
  <c r="I240" i="1" s="1"/>
  <c r="K240" i="1" s="1"/>
  <c r="M240" i="1" s="1"/>
  <c r="E239" i="1"/>
  <c r="I239" i="1" s="1"/>
  <c r="K239" i="1" s="1"/>
  <c r="M239" i="1" s="1"/>
  <c r="E238" i="1"/>
  <c r="I238" i="1" s="1"/>
  <c r="K238" i="1" s="1"/>
  <c r="M238" i="1" s="1"/>
  <c r="E237" i="1"/>
  <c r="I237" i="1" s="1"/>
  <c r="K237" i="1" s="1"/>
  <c r="M237" i="1" s="1"/>
  <c r="E236" i="1"/>
  <c r="I236" i="1" s="1"/>
  <c r="K236" i="1" s="1"/>
  <c r="M236" i="1" s="1"/>
  <c r="E235" i="1"/>
  <c r="I235" i="1" s="1"/>
  <c r="K235" i="1" s="1"/>
  <c r="M235" i="1" s="1"/>
  <c r="E234" i="1"/>
  <c r="I234" i="1" s="1"/>
  <c r="K234" i="1" s="1"/>
  <c r="M234" i="1" s="1"/>
  <c r="E233" i="1"/>
  <c r="I233" i="1" s="1"/>
  <c r="K233" i="1" s="1"/>
  <c r="M233" i="1" s="1"/>
  <c r="E232" i="1"/>
  <c r="I232" i="1" s="1"/>
  <c r="K232" i="1" s="1"/>
  <c r="M232" i="1" s="1"/>
  <c r="E231" i="1"/>
  <c r="I231" i="1" s="1"/>
  <c r="K231" i="1" s="1"/>
  <c r="M231" i="1" s="1"/>
  <c r="E230" i="1"/>
  <c r="I230" i="1" s="1"/>
  <c r="K230" i="1" s="1"/>
  <c r="M230" i="1" s="1"/>
  <c r="E229" i="1"/>
  <c r="I229" i="1" s="1"/>
  <c r="K229" i="1" s="1"/>
  <c r="M229" i="1" s="1"/>
  <c r="E228" i="1"/>
  <c r="I228" i="1" s="1"/>
  <c r="K228" i="1" s="1"/>
  <c r="M228" i="1" s="1"/>
  <c r="E227" i="1"/>
  <c r="I227" i="1" s="1"/>
  <c r="K227" i="1" s="1"/>
  <c r="M227" i="1" s="1"/>
  <c r="E226" i="1"/>
  <c r="I226" i="1" s="1"/>
  <c r="K226" i="1" s="1"/>
  <c r="M226" i="1" s="1"/>
  <c r="E225" i="1"/>
  <c r="I225" i="1" s="1"/>
  <c r="K225" i="1" s="1"/>
  <c r="M225" i="1" s="1"/>
  <c r="E224" i="1"/>
  <c r="I224" i="1" s="1"/>
  <c r="K224" i="1" s="1"/>
  <c r="M224" i="1" s="1"/>
  <c r="E223" i="1"/>
  <c r="I223" i="1" s="1"/>
  <c r="K223" i="1" s="1"/>
  <c r="M223" i="1" s="1"/>
  <c r="E222" i="1"/>
  <c r="I222" i="1" s="1"/>
  <c r="K222" i="1" s="1"/>
  <c r="M222" i="1" s="1"/>
  <c r="E221" i="1"/>
  <c r="I221" i="1" s="1"/>
  <c r="K221" i="1" s="1"/>
  <c r="M221" i="1" s="1"/>
  <c r="E220" i="1"/>
  <c r="I220" i="1" s="1"/>
  <c r="K220" i="1" s="1"/>
  <c r="M220" i="1" s="1"/>
  <c r="E219" i="1"/>
  <c r="I219" i="1" s="1"/>
  <c r="K219" i="1" s="1"/>
  <c r="M219" i="1" s="1"/>
  <c r="E218" i="1"/>
  <c r="I218" i="1" s="1"/>
  <c r="K218" i="1" s="1"/>
  <c r="M218" i="1" s="1"/>
  <c r="E217" i="1"/>
  <c r="I217" i="1" s="1"/>
  <c r="K217" i="1" s="1"/>
  <c r="M217" i="1" s="1"/>
  <c r="E216" i="1"/>
  <c r="I216" i="1" s="1"/>
  <c r="K216" i="1" s="1"/>
  <c r="M216" i="1" s="1"/>
  <c r="E215" i="1"/>
  <c r="I215" i="1" s="1"/>
  <c r="K215" i="1" s="1"/>
  <c r="M215" i="1" s="1"/>
  <c r="E214" i="1"/>
  <c r="I214" i="1" s="1"/>
  <c r="K214" i="1" s="1"/>
  <c r="M214" i="1" s="1"/>
  <c r="E213" i="1"/>
  <c r="I213" i="1" s="1"/>
  <c r="K213" i="1" s="1"/>
  <c r="M213" i="1" s="1"/>
  <c r="E212" i="1"/>
  <c r="I212" i="1" s="1"/>
  <c r="K212" i="1" s="1"/>
  <c r="M212" i="1" s="1"/>
  <c r="E211" i="1"/>
  <c r="I211" i="1" s="1"/>
  <c r="K211" i="1" s="1"/>
  <c r="M211" i="1" s="1"/>
  <c r="E210" i="1"/>
  <c r="I210" i="1" s="1"/>
  <c r="K210" i="1" s="1"/>
  <c r="M210" i="1" s="1"/>
  <c r="E209" i="1"/>
  <c r="I209" i="1" s="1"/>
  <c r="K209" i="1" s="1"/>
  <c r="M209" i="1" s="1"/>
  <c r="E208" i="1"/>
  <c r="I208" i="1" s="1"/>
  <c r="K208" i="1" s="1"/>
  <c r="M208" i="1" s="1"/>
  <c r="E207" i="1"/>
  <c r="I207" i="1" s="1"/>
  <c r="K207" i="1" s="1"/>
  <c r="M207" i="1" s="1"/>
  <c r="E206" i="1"/>
  <c r="I206" i="1" s="1"/>
  <c r="K206" i="1" s="1"/>
  <c r="M206" i="1" s="1"/>
  <c r="E205" i="1"/>
  <c r="I205" i="1" s="1"/>
  <c r="K205" i="1" s="1"/>
  <c r="M205" i="1" s="1"/>
  <c r="E204" i="1"/>
  <c r="I204" i="1" s="1"/>
  <c r="K204" i="1" s="1"/>
  <c r="M204" i="1" s="1"/>
  <c r="E203" i="1"/>
  <c r="I203" i="1" s="1"/>
  <c r="K203" i="1" s="1"/>
  <c r="M203" i="1" s="1"/>
  <c r="E202" i="1"/>
  <c r="I202" i="1" s="1"/>
  <c r="K202" i="1" s="1"/>
  <c r="M202" i="1" s="1"/>
  <c r="E201" i="1"/>
  <c r="I201" i="1" s="1"/>
  <c r="K201" i="1" s="1"/>
  <c r="M201" i="1" s="1"/>
  <c r="E200" i="1"/>
  <c r="I200" i="1" s="1"/>
  <c r="K200" i="1" s="1"/>
  <c r="M200" i="1" s="1"/>
  <c r="E199" i="1"/>
  <c r="I199" i="1" s="1"/>
  <c r="K199" i="1" s="1"/>
  <c r="M199" i="1" s="1"/>
  <c r="E198" i="1"/>
  <c r="I198" i="1" s="1"/>
  <c r="K198" i="1" s="1"/>
  <c r="M198" i="1" s="1"/>
  <c r="E197" i="1"/>
  <c r="I197" i="1" s="1"/>
  <c r="K197" i="1" s="1"/>
  <c r="M197" i="1" s="1"/>
  <c r="E196" i="1"/>
  <c r="I196" i="1" s="1"/>
  <c r="K196" i="1" s="1"/>
  <c r="M196" i="1" s="1"/>
  <c r="E195" i="1"/>
  <c r="I195" i="1" s="1"/>
  <c r="K195" i="1" s="1"/>
  <c r="M195" i="1" s="1"/>
  <c r="E194" i="1"/>
  <c r="I194" i="1" s="1"/>
  <c r="K194" i="1" s="1"/>
  <c r="M194" i="1" s="1"/>
  <c r="E193" i="1"/>
  <c r="I193" i="1" s="1"/>
  <c r="K193" i="1" s="1"/>
  <c r="M193" i="1" s="1"/>
  <c r="E192" i="1"/>
  <c r="I192" i="1" s="1"/>
  <c r="K192" i="1" s="1"/>
  <c r="M192" i="1" s="1"/>
  <c r="E191" i="1"/>
  <c r="I191" i="1" s="1"/>
  <c r="K191" i="1" s="1"/>
  <c r="M191" i="1" s="1"/>
  <c r="E190" i="1"/>
  <c r="I190" i="1" s="1"/>
  <c r="K190" i="1" s="1"/>
  <c r="M190" i="1" s="1"/>
  <c r="E189" i="1"/>
  <c r="I189" i="1" s="1"/>
  <c r="K189" i="1" s="1"/>
  <c r="M189" i="1" s="1"/>
  <c r="E188" i="1"/>
  <c r="I188" i="1" s="1"/>
  <c r="K188" i="1" s="1"/>
  <c r="M188" i="1" s="1"/>
  <c r="E187" i="1"/>
  <c r="I187" i="1" s="1"/>
  <c r="K187" i="1" s="1"/>
  <c r="M187" i="1" s="1"/>
  <c r="E186" i="1"/>
  <c r="I186" i="1" s="1"/>
  <c r="K186" i="1" s="1"/>
  <c r="M186" i="1" s="1"/>
  <c r="E185" i="1"/>
  <c r="I185" i="1" s="1"/>
  <c r="K185" i="1" s="1"/>
  <c r="M185" i="1" s="1"/>
  <c r="E184" i="1"/>
  <c r="I184" i="1" s="1"/>
  <c r="K184" i="1" s="1"/>
  <c r="M184" i="1" s="1"/>
  <c r="E183" i="1"/>
  <c r="I183" i="1" s="1"/>
  <c r="K183" i="1" s="1"/>
  <c r="M183" i="1" s="1"/>
  <c r="E182" i="1"/>
  <c r="I182" i="1" s="1"/>
  <c r="K182" i="1" s="1"/>
  <c r="M182" i="1" s="1"/>
  <c r="E181" i="1"/>
  <c r="I181" i="1" s="1"/>
  <c r="K181" i="1" s="1"/>
  <c r="M181" i="1" s="1"/>
  <c r="E180" i="1"/>
  <c r="I180" i="1" s="1"/>
  <c r="K180" i="1" s="1"/>
  <c r="M180" i="1" s="1"/>
  <c r="E179" i="1"/>
  <c r="I179" i="1" s="1"/>
  <c r="K179" i="1" s="1"/>
  <c r="M179" i="1" s="1"/>
  <c r="E178" i="1"/>
  <c r="I178" i="1" s="1"/>
  <c r="K178" i="1" s="1"/>
  <c r="M178" i="1" s="1"/>
  <c r="E177" i="1"/>
  <c r="I177" i="1" s="1"/>
  <c r="K177" i="1" s="1"/>
  <c r="M177" i="1" s="1"/>
  <c r="E176" i="1"/>
  <c r="I176" i="1" s="1"/>
  <c r="K176" i="1" s="1"/>
  <c r="M176" i="1" s="1"/>
  <c r="E175" i="1"/>
  <c r="I175" i="1" s="1"/>
  <c r="K175" i="1" s="1"/>
  <c r="M175" i="1" s="1"/>
  <c r="E174" i="1"/>
  <c r="I174" i="1" s="1"/>
  <c r="K174" i="1" s="1"/>
  <c r="M174" i="1" s="1"/>
  <c r="E173" i="1"/>
  <c r="I173" i="1" s="1"/>
  <c r="K173" i="1" s="1"/>
  <c r="M173" i="1" s="1"/>
  <c r="E172" i="1"/>
  <c r="I172" i="1" s="1"/>
  <c r="K172" i="1" s="1"/>
  <c r="M172" i="1" s="1"/>
  <c r="E171" i="1"/>
  <c r="I171" i="1" s="1"/>
  <c r="K171" i="1" s="1"/>
  <c r="M171" i="1" s="1"/>
  <c r="E170" i="1"/>
  <c r="I170" i="1" s="1"/>
  <c r="K170" i="1" s="1"/>
  <c r="M170" i="1" s="1"/>
  <c r="E169" i="1"/>
  <c r="I169" i="1" s="1"/>
  <c r="K169" i="1" s="1"/>
  <c r="M169" i="1" s="1"/>
  <c r="E168" i="1"/>
  <c r="I168" i="1" s="1"/>
  <c r="K168" i="1" s="1"/>
  <c r="M168" i="1" s="1"/>
  <c r="E167" i="1"/>
  <c r="I167" i="1" s="1"/>
  <c r="K167" i="1" s="1"/>
  <c r="M167" i="1" s="1"/>
  <c r="E166" i="1"/>
  <c r="I166" i="1" s="1"/>
  <c r="K166" i="1" s="1"/>
  <c r="M166" i="1" s="1"/>
  <c r="E165" i="1"/>
  <c r="I165" i="1" s="1"/>
  <c r="K165" i="1" s="1"/>
  <c r="M165" i="1" s="1"/>
  <c r="E164" i="1"/>
  <c r="I164" i="1" s="1"/>
  <c r="K164" i="1" s="1"/>
  <c r="M164" i="1" s="1"/>
  <c r="E163" i="1"/>
  <c r="I163" i="1" s="1"/>
  <c r="K163" i="1" s="1"/>
  <c r="M163" i="1" s="1"/>
  <c r="E162" i="1"/>
  <c r="I162" i="1" s="1"/>
  <c r="K162" i="1" s="1"/>
  <c r="M162" i="1" s="1"/>
  <c r="E161" i="1"/>
  <c r="I161" i="1" s="1"/>
  <c r="K161" i="1" s="1"/>
  <c r="M161" i="1" s="1"/>
  <c r="E160" i="1"/>
  <c r="I160" i="1" s="1"/>
  <c r="K160" i="1" s="1"/>
  <c r="M160" i="1" s="1"/>
  <c r="E159" i="1"/>
  <c r="I159" i="1" s="1"/>
  <c r="K159" i="1" s="1"/>
  <c r="M159" i="1" s="1"/>
  <c r="E158" i="1"/>
  <c r="I158" i="1" s="1"/>
  <c r="K158" i="1" s="1"/>
  <c r="M158" i="1" s="1"/>
  <c r="E157" i="1"/>
  <c r="I157" i="1" s="1"/>
  <c r="K157" i="1" s="1"/>
  <c r="M157" i="1" s="1"/>
  <c r="E156" i="1"/>
  <c r="I156" i="1" s="1"/>
  <c r="K156" i="1" s="1"/>
  <c r="M156" i="1" s="1"/>
  <c r="E155" i="1"/>
  <c r="I155" i="1" s="1"/>
  <c r="K155" i="1" s="1"/>
  <c r="M155" i="1" s="1"/>
  <c r="E154" i="1"/>
  <c r="I154" i="1" s="1"/>
  <c r="K154" i="1" s="1"/>
  <c r="M154" i="1" s="1"/>
  <c r="E153" i="1"/>
  <c r="I153" i="1" s="1"/>
  <c r="K153" i="1" s="1"/>
  <c r="M153" i="1" s="1"/>
  <c r="E152" i="1"/>
  <c r="I152" i="1" s="1"/>
  <c r="K152" i="1" s="1"/>
  <c r="M152" i="1" s="1"/>
  <c r="E151" i="1"/>
  <c r="I151" i="1" s="1"/>
  <c r="K151" i="1" s="1"/>
  <c r="M151" i="1" s="1"/>
  <c r="E150" i="1"/>
  <c r="I150" i="1" s="1"/>
  <c r="K150" i="1" s="1"/>
  <c r="M150" i="1" s="1"/>
  <c r="E149" i="1"/>
  <c r="I149" i="1" s="1"/>
  <c r="K149" i="1" s="1"/>
  <c r="M149" i="1" s="1"/>
  <c r="E148" i="1"/>
  <c r="I148" i="1" s="1"/>
  <c r="K148" i="1" s="1"/>
  <c r="M148" i="1" s="1"/>
  <c r="E147" i="1"/>
  <c r="I147" i="1" s="1"/>
  <c r="K147" i="1" s="1"/>
  <c r="M147" i="1" s="1"/>
  <c r="E146" i="1"/>
  <c r="I146" i="1" s="1"/>
  <c r="K146" i="1" s="1"/>
  <c r="M146" i="1" s="1"/>
  <c r="E145" i="1"/>
  <c r="I145" i="1" s="1"/>
  <c r="K145" i="1" s="1"/>
  <c r="M145" i="1" s="1"/>
  <c r="E144" i="1"/>
  <c r="I144" i="1" s="1"/>
  <c r="K144" i="1" s="1"/>
  <c r="M144" i="1" s="1"/>
  <c r="E143" i="1"/>
  <c r="I143" i="1" s="1"/>
  <c r="K143" i="1" s="1"/>
  <c r="M143" i="1" s="1"/>
  <c r="E142" i="1"/>
  <c r="I142" i="1" s="1"/>
  <c r="K142" i="1" s="1"/>
  <c r="M142" i="1" s="1"/>
  <c r="E141" i="1"/>
  <c r="I141" i="1" s="1"/>
  <c r="K141" i="1" s="1"/>
  <c r="M141" i="1" s="1"/>
  <c r="E140" i="1"/>
  <c r="I140" i="1" s="1"/>
  <c r="K140" i="1" s="1"/>
  <c r="M140" i="1" s="1"/>
  <c r="E139" i="1"/>
  <c r="I139" i="1" s="1"/>
  <c r="K139" i="1" s="1"/>
  <c r="M139" i="1" s="1"/>
  <c r="E138" i="1"/>
  <c r="I138" i="1" s="1"/>
  <c r="K138" i="1" s="1"/>
  <c r="M138" i="1" s="1"/>
  <c r="E137" i="1"/>
  <c r="I137" i="1" s="1"/>
  <c r="K137" i="1" s="1"/>
  <c r="M137" i="1" s="1"/>
  <c r="E136" i="1"/>
  <c r="I136" i="1" s="1"/>
  <c r="K136" i="1" s="1"/>
  <c r="M136" i="1" s="1"/>
  <c r="E135" i="1"/>
  <c r="I135" i="1" s="1"/>
  <c r="K135" i="1" s="1"/>
  <c r="M135" i="1" s="1"/>
  <c r="E134" i="1"/>
  <c r="I134" i="1" s="1"/>
  <c r="K134" i="1" s="1"/>
  <c r="M134" i="1" s="1"/>
  <c r="E133" i="1"/>
  <c r="I133" i="1" s="1"/>
  <c r="K133" i="1" s="1"/>
  <c r="M133" i="1" s="1"/>
  <c r="E132" i="1"/>
  <c r="I132" i="1" s="1"/>
  <c r="K132" i="1" s="1"/>
  <c r="M132" i="1" s="1"/>
  <c r="E131" i="1"/>
  <c r="I131" i="1" s="1"/>
  <c r="K131" i="1" s="1"/>
  <c r="M131" i="1" s="1"/>
  <c r="E130" i="1"/>
  <c r="I130" i="1" s="1"/>
  <c r="K130" i="1" s="1"/>
  <c r="M130" i="1" s="1"/>
  <c r="E129" i="1"/>
  <c r="I129" i="1" s="1"/>
  <c r="K129" i="1" s="1"/>
  <c r="M129" i="1" s="1"/>
  <c r="E128" i="1"/>
  <c r="I128" i="1" s="1"/>
  <c r="K128" i="1" s="1"/>
  <c r="M128" i="1" s="1"/>
  <c r="E127" i="1"/>
  <c r="I127" i="1" s="1"/>
  <c r="K127" i="1" s="1"/>
  <c r="M127" i="1" s="1"/>
  <c r="E126" i="1"/>
  <c r="I126" i="1" s="1"/>
  <c r="K126" i="1" s="1"/>
  <c r="M126" i="1" s="1"/>
  <c r="E125" i="1"/>
  <c r="I125" i="1" s="1"/>
  <c r="K125" i="1" s="1"/>
  <c r="M125" i="1" s="1"/>
  <c r="E124" i="1"/>
  <c r="I124" i="1" s="1"/>
  <c r="K124" i="1" s="1"/>
  <c r="M124" i="1" s="1"/>
  <c r="E123" i="1"/>
  <c r="I123" i="1" s="1"/>
  <c r="K123" i="1" s="1"/>
  <c r="M123" i="1" s="1"/>
  <c r="E122" i="1"/>
  <c r="I122" i="1" s="1"/>
  <c r="K122" i="1" s="1"/>
  <c r="M122" i="1" s="1"/>
  <c r="E121" i="1"/>
  <c r="I121" i="1" s="1"/>
  <c r="K121" i="1" s="1"/>
  <c r="M121" i="1" s="1"/>
  <c r="E120" i="1"/>
  <c r="I120" i="1" s="1"/>
  <c r="K120" i="1" s="1"/>
  <c r="M120" i="1" s="1"/>
  <c r="E119" i="1"/>
  <c r="I119" i="1" s="1"/>
  <c r="K119" i="1" s="1"/>
  <c r="M119" i="1" s="1"/>
  <c r="E118" i="1"/>
  <c r="I118" i="1" s="1"/>
  <c r="K118" i="1" s="1"/>
  <c r="M118" i="1" s="1"/>
  <c r="E117" i="1"/>
  <c r="I117" i="1" s="1"/>
  <c r="K117" i="1" s="1"/>
  <c r="M117" i="1" s="1"/>
  <c r="E116" i="1"/>
  <c r="I116" i="1" s="1"/>
  <c r="K116" i="1" s="1"/>
  <c r="M116" i="1" s="1"/>
  <c r="E115" i="1"/>
  <c r="I115" i="1" s="1"/>
  <c r="K115" i="1" s="1"/>
  <c r="M115" i="1" s="1"/>
  <c r="E114" i="1"/>
  <c r="I114" i="1" s="1"/>
  <c r="K114" i="1" s="1"/>
  <c r="M114" i="1" s="1"/>
  <c r="E113" i="1"/>
  <c r="I113" i="1" s="1"/>
  <c r="K113" i="1" s="1"/>
  <c r="M113" i="1" s="1"/>
  <c r="E112" i="1"/>
  <c r="I112" i="1" s="1"/>
  <c r="K112" i="1" s="1"/>
  <c r="M112" i="1" s="1"/>
  <c r="E111" i="1"/>
  <c r="I111" i="1" s="1"/>
  <c r="K111" i="1" s="1"/>
  <c r="M111" i="1" s="1"/>
  <c r="E110" i="1"/>
  <c r="I110" i="1" s="1"/>
  <c r="K110" i="1" s="1"/>
  <c r="M110" i="1" s="1"/>
  <c r="E109" i="1"/>
  <c r="I109" i="1" s="1"/>
  <c r="K109" i="1" s="1"/>
  <c r="M109" i="1" s="1"/>
  <c r="E108" i="1"/>
  <c r="I108" i="1" s="1"/>
  <c r="K108" i="1" s="1"/>
  <c r="M108" i="1" s="1"/>
  <c r="E107" i="1"/>
  <c r="I107" i="1" s="1"/>
  <c r="K107" i="1" s="1"/>
  <c r="M107" i="1" s="1"/>
  <c r="E106" i="1"/>
  <c r="I106" i="1" s="1"/>
  <c r="K106" i="1" s="1"/>
  <c r="M106" i="1" s="1"/>
  <c r="E105" i="1"/>
  <c r="I105" i="1" s="1"/>
  <c r="K105" i="1" s="1"/>
  <c r="M105" i="1" s="1"/>
  <c r="E104" i="1"/>
  <c r="I104" i="1" s="1"/>
  <c r="K104" i="1" s="1"/>
  <c r="M104" i="1" s="1"/>
  <c r="E103" i="1"/>
  <c r="I103" i="1" s="1"/>
  <c r="K103" i="1" s="1"/>
  <c r="M103" i="1" s="1"/>
  <c r="E102" i="1"/>
  <c r="I102" i="1" s="1"/>
  <c r="K102" i="1" s="1"/>
  <c r="M102" i="1" s="1"/>
  <c r="E101" i="1"/>
  <c r="I101" i="1" s="1"/>
  <c r="K101" i="1" s="1"/>
  <c r="M101" i="1" s="1"/>
  <c r="E100" i="1"/>
  <c r="I100" i="1" s="1"/>
  <c r="K100" i="1" s="1"/>
  <c r="M100" i="1" s="1"/>
  <c r="E99" i="1"/>
  <c r="I99" i="1" s="1"/>
  <c r="K99" i="1" s="1"/>
  <c r="M99" i="1" s="1"/>
  <c r="E98" i="1"/>
  <c r="I98" i="1" s="1"/>
  <c r="K98" i="1" s="1"/>
  <c r="M98" i="1" s="1"/>
  <c r="E97" i="1"/>
  <c r="I97" i="1" s="1"/>
  <c r="K97" i="1" s="1"/>
  <c r="M97" i="1" s="1"/>
  <c r="E96" i="1"/>
  <c r="I96" i="1" s="1"/>
  <c r="K96" i="1" s="1"/>
  <c r="M96" i="1" s="1"/>
  <c r="E95" i="1"/>
  <c r="I95" i="1" s="1"/>
  <c r="K95" i="1" s="1"/>
  <c r="M95" i="1" s="1"/>
  <c r="E94" i="1"/>
  <c r="I94" i="1" s="1"/>
  <c r="K94" i="1" s="1"/>
  <c r="M94" i="1" s="1"/>
  <c r="E93" i="1"/>
  <c r="I93" i="1" s="1"/>
  <c r="K93" i="1" s="1"/>
  <c r="M93" i="1" s="1"/>
  <c r="E92" i="1"/>
  <c r="I92" i="1" s="1"/>
  <c r="K92" i="1" s="1"/>
  <c r="M92" i="1" s="1"/>
  <c r="E91" i="1"/>
  <c r="I91" i="1" s="1"/>
  <c r="K91" i="1" s="1"/>
  <c r="M91" i="1" s="1"/>
  <c r="E90" i="1"/>
  <c r="I90" i="1" s="1"/>
  <c r="K90" i="1" s="1"/>
  <c r="M90" i="1" s="1"/>
  <c r="E89" i="1"/>
  <c r="I89" i="1" s="1"/>
  <c r="K89" i="1" s="1"/>
  <c r="M89" i="1" s="1"/>
  <c r="L84" i="1"/>
  <c r="J84" i="1"/>
  <c r="H84" i="1"/>
  <c r="D84" i="1"/>
  <c r="C84" i="1"/>
  <c r="E83" i="1"/>
  <c r="I83" i="1" s="1"/>
  <c r="K83" i="1" s="1"/>
  <c r="M83" i="1" s="1"/>
  <c r="E82" i="1"/>
  <c r="I82" i="1" s="1"/>
  <c r="K82" i="1" s="1"/>
  <c r="M82" i="1" s="1"/>
  <c r="E81" i="1"/>
  <c r="I81" i="1" s="1"/>
  <c r="K81" i="1" s="1"/>
  <c r="M81" i="1" s="1"/>
  <c r="E80" i="1"/>
  <c r="I80" i="1" s="1"/>
  <c r="K80" i="1" s="1"/>
  <c r="M80" i="1" s="1"/>
  <c r="E79" i="1"/>
  <c r="I79" i="1" s="1"/>
  <c r="K79" i="1" s="1"/>
  <c r="M79" i="1" s="1"/>
  <c r="E78" i="1"/>
  <c r="I78" i="1" s="1"/>
  <c r="K78" i="1" s="1"/>
  <c r="M78" i="1" s="1"/>
  <c r="E77" i="1"/>
  <c r="I77" i="1" s="1"/>
  <c r="K77" i="1" s="1"/>
  <c r="M77" i="1" s="1"/>
  <c r="E76" i="1"/>
  <c r="I76" i="1" s="1"/>
  <c r="K76" i="1" s="1"/>
  <c r="M76" i="1" s="1"/>
  <c r="E75" i="1"/>
  <c r="I75" i="1" s="1"/>
  <c r="K75" i="1" s="1"/>
  <c r="M75" i="1" s="1"/>
  <c r="E74" i="1"/>
  <c r="I74" i="1" s="1"/>
  <c r="K74" i="1" s="1"/>
  <c r="M74" i="1" s="1"/>
  <c r="E73" i="1"/>
  <c r="I73" i="1" s="1"/>
  <c r="K73" i="1" s="1"/>
  <c r="M73" i="1" s="1"/>
  <c r="E72" i="1"/>
  <c r="I72" i="1" s="1"/>
  <c r="K72" i="1" s="1"/>
  <c r="M72" i="1" s="1"/>
  <c r="E71" i="1"/>
  <c r="I71" i="1" s="1"/>
  <c r="K71" i="1" s="1"/>
  <c r="M71" i="1" s="1"/>
  <c r="E70" i="1"/>
  <c r="I70" i="1" s="1"/>
  <c r="K70" i="1" s="1"/>
  <c r="M70" i="1" s="1"/>
  <c r="E69" i="1"/>
  <c r="I69" i="1" s="1"/>
  <c r="K69" i="1" s="1"/>
  <c r="M69" i="1" s="1"/>
  <c r="E68" i="1"/>
  <c r="I68" i="1" s="1"/>
  <c r="K68" i="1" s="1"/>
  <c r="M68" i="1" s="1"/>
  <c r="E67" i="1"/>
  <c r="I67" i="1" s="1"/>
  <c r="K67" i="1" s="1"/>
  <c r="M67" i="1" s="1"/>
  <c r="E66" i="1"/>
  <c r="I66" i="1" s="1"/>
  <c r="K66" i="1" s="1"/>
  <c r="M66" i="1" s="1"/>
  <c r="E65" i="1"/>
  <c r="I65" i="1" s="1"/>
  <c r="K65" i="1" s="1"/>
  <c r="M65" i="1" s="1"/>
  <c r="E64" i="1"/>
  <c r="I64" i="1" s="1"/>
  <c r="K64" i="1" s="1"/>
  <c r="M64" i="1" s="1"/>
  <c r="E63" i="1"/>
  <c r="I63" i="1" s="1"/>
  <c r="K63" i="1" s="1"/>
  <c r="M63" i="1" s="1"/>
  <c r="E62" i="1"/>
  <c r="I62" i="1" s="1"/>
  <c r="K62" i="1" s="1"/>
  <c r="M62" i="1" s="1"/>
  <c r="E61" i="1"/>
  <c r="I61" i="1" s="1"/>
  <c r="K61" i="1" s="1"/>
  <c r="M61" i="1" s="1"/>
  <c r="E60" i="1"/>
  <c r="I60" i="1" s="1"/>
  <c r="K60" i="1" s="1"/>
  <c r="M60" i="1" s="1"/>
  <c r="E59" i="1"/>
  <c r="I59" i="1" s="1"/>
  <c r="K59" i="1" s="1"/>
  <c r="M59" i="1" s="1"/>
  <c r="E58" i="1"/>
  <c r="I58" i="1" s="1"/>
  <c r="K58" i="1" s="1"/>
  <c r="M58" i="1" s="1"/>
  <c r="E57" i="1"/>
  <c r="I57" i="1" s="1"/>
  <c r="K57" i="1" s="1"/>
  <c r="M57" i="1" s="1"/>
  <c r="E56" i="1"/>
  <c r="I56" i="1" s="1"/>
  <c r="K56" i="1" s="1"/>
  <c r="M56" i="1" s="1"/>
  <c r="E55" i="1"/>
  <c r="I55" i="1" s="1"/>
  <c r="K55" i="1" s="1"/>
  <c r="M55" i="1" s="1"/>
  <c r="E54" i="1"/>
  <c r="I54" i="1" s="1"/>
  <c r="K54" i="1" s="1"/>
  <c r="M54" i="1" s="1"/>
  <c r="E53" i="1"/>
  <c r="I53" i="1" s="1"/>
  <c r="K53" i="1" s="1"/>
  <c r="M53" i="1" s="1"/>
  <c r="E52" i="1"/>
  <c r="I52" i="1" s="1"/>
  <c r="K52" i="1" s="1"/>
  <c r="M52" i="1" s="1"/>
  <c r="E51" i="1"/>
  <c r="I51" i="1" s="1"/>
  <c r="K51" i="1" s="1"/>
  <c r="M51" i="1" s="1"/>
  <c r="E50" i="1"/>
  <c r="I50" i="1" s="1"/>
  <c r="K50" i="1" s="1"/>
  <c r="M50" i="1" s="1"/>
  <c r="E49" i="1"/>
  <c r="I49" i="1" s="1"/>
  <c r="K49" i="1" s="1"/>
  <c r="M49" i="1" s="1"/>
  <c r="E48" i="1"/>
  <c r="I48" i="1" s="1"/>
  <c r="K48" i="1" s="1"/>
  <c r="M48" i="1" s="1"/>
  <c r="E47" i="1"/>
  <c r="I47" i="1" s="1"/>
  <c r="K47" i="1" s="1"/>
  <c r="M47" i="1" s="1"/>
  <c r="E46" i="1"/>
  <c r="I46" i="1" s="1"/>
  <c r="K46" i="1" s="1"/>
  <c r="M46" i="1" s="1"/>
  <c r="E45" i="1"/>
  <c r="I45" i="1" s="1"/>
  <c r="K45" i="1" s="1"/>
  <c r="M45" i="1" s="1"/>
  <c r="E44" i="1"/>
  <c r="I44" i="1" s="1"/>
  <c r="K44" i="1" s="1"/>
  <c r="M44" i="1" s="1"/>
  <c r="E43" i="1"/>
  <c r="I43" i="1" s="1"/>
  <c r="K43" i="1" s="1"/>
  <c r="M43" i="1" s="1"/>
  <c r="E42" i="1"/>
  <c r="I42" i="1" s="1"/>
  <c r="K42" i="1" s="1"/>
  <c r="M42" i="1" s="1"/>
  <c r="E41" i="1"/>
  <c r="I41" i="1" s="1"/>
  <c r="K41" i="1" s="1"/>
  <c r="M41" i="1" s="1"/>
  <c r="E40" i="1"/>
  <c r="I40" i="1" s="1"/>
  <c r="K40" i="1" s="1"/>
  <c r="M40" i="1" s="1"/>
  <c r="E39" i="1"/>
  <c r="I39" i="1" s="1"/>
  <c r="K39" i="1" s="1"/>
  <c r="M39" i="1" s="1"/>
  <c r="E38" i="1"/>
  <c r="I38" i="1" s="1"/>
  <c r="K38" i="1" s="1"/>
  <c r="M38" i="1" s="1"/>
  <c r="E37" i="1"/>
  <c r="I37" i="1" s="1"/>
  <c r="K37" i="1" s="1"/>
  <c r="M37" i="1" s="1"/>
  <c r="E36" i="1"/>
  <c r="I36" i="1" s="1"/>
  <c r="K36" i="1" s="1"/>
  <c r="M36" i="1" s="1"/>
  <c r="E35" i="1"/>
  <c r="I35" i="1" s="1"/>
  <c r="K35" i="1" s="1"/>
  <c r="M35" i="1" s="1"/>
  <c r="E34" i="1"/>
  <c r="I34" i="1" s="1"/>
  <c r="K34" i="1" s="1"/>
  <c r="M34" i="1" s="1"/>
  <c r="E33" i="1"/>
  <c r="I33" i="1" s="1"/>
  <c r="K33" i="1" s="1"/>
  <c r="M33" i="1" s="1"/>
  <c r="E32" i="1"/>
  <c r="I32" i="1" s="1"/>
  <c r="K32" i="1" s="1"/>
  <c r="M32" i="1" s="1"/>
  <c r="E31" i="1"/>
  <c r="I31" i="1" s="1"/>
  <c r="K31" i="1" s="1"/>
  <c r="M31" i="1" s="1"/>
  <c r="E30" i="1"/>
  <c r="I30" i="1" s="1"/>
  <c r="K30" i="1" s="1"/>
  <c r="E29" i="1"/>
  <c r="I29" i="1" s="1"/>
  <c r="K29" i="1" s="1"/>
  <c r="M29" i="1" s="1"/>
  <c r="E28" i="1"/>
  <c r="I28" i="1" s="1"/>
  <c r="K28" i="1" s="1"/>
  <c r="M28" i="1" s="1"/>
  <c r="E27" i="1"/>
  <c r="I27" i="1" s="1"/>
  <c r="K27" i="1" s="1"/>
  <c r="M27" i="1" s="1"/>
  <c r="E26" i="1"/>
  <c r="I26" i="1" s="1"/>
  <c r="K26" i="1" s="1"/>
  <c r="M26" i="1" s="1"/>
  <c r="E25" i="1"/>
  <c r="I25" i="1" s="1"/>
  <c r="K25" i="1" s="1"/>
  <c r="M25" i="1" s="1"/>
  <c r="E24" i="1"/>
  <c r="I24" i="1" s="1"/>
  <c r="K24" i="1" s="1"/>
  <c r="M24" i="1" s="1"/>
  <c r="E23" i="1"/>
  <c r="I23" i="1" s="1"/>
  <c r="K23" i="1" s="1"/>
  <c r="M23" i="1" s="1"/>
  <c r="E22" i="1"/>
  <c r="I22" i="1" s="1"/>
  <c r="K22" i="1" s="1"/>
  <c r="M22" i="1" s="1"/>
  <c r="E21" i="1"/>
  <c r="I21" i="1" s="1"/>
  <c r="K21" i="1" s="1"/>
  <c r="M21" i="1" s="1"/>
  <c r="E20" i="1"/>
  <c r="I20" i="1" s="1"/>
  <c r="K20" i="1" s="1"/>
  <c r="M20" i="1" s="1"/>
  <c r="E19" i="1"/>
  <c r="I19" i="1" s="1"/>
  <c r="K19" i="1" s="1"/>
  <c r="M19" i="1" s="1"/>
  <c r="E18" i="1"/>
  <c r="I18" i="1" s="1"/>
  <c r="K18" i="1" s="1"/>
  <c r="M18" i="1" s="1"/>
  <c r="E17" i="1"/>
  <c r="I17" i="1" s="1"/>
  <c r="K17" i="1" s="1"/>
  <c r="M17" i="1" s="1"/>
  <c r="E16" i="1"/>
  <c r="I16" i="1" s="1"/>
  <c r="K16" i="1" s="1"/>
  <c r="M16" i="1" s="1"/>
  <c r="E15" i="1"/>
  <c r="I15" i="1" s="1"/>
  <c r="K15" i="1" s="1"/>
  <c r="M15" i="1" s="1"/>
  <c r="E14" i="1"/>
  <c r="I14" i="1" s="1"/>
  <c r="K14" i="1" s="1"/>
  <c r="M14" i="1" s="1"/>
  <c r="E13" i="1"/>
  <c r="I13" i="1" s="1"/>
  <c r="K13" i="1" s="1"/>
  <c r="M13" i="1" s="1"/>
  <c r="E12" i="1"/>
  <c r="I12" i="1" s="1"/>
  <c r="K12" i="1" s="1"/>
  <c r="M12" i="1" s="1"/>
  <c r="E11" i="1"/>
  <c r="I11" i="1" s="1"/>
  <c r="K11" i="1" s="1"/>
  <c r="M11" i="1" s="1"/>
  <c r="E10" i="1"/>
  <c r="I10" i="1" s="1"/>
  <c r="K10" i="1" s="1"/>
  <c r="M10" i="1" s="1"/>
  <c r="M9" i="1"/>
  <c r="E9" i="1"/>
  <c r="I9" i="1" s="1"/>
  <c r="E8" i="1"/>
  <c r="I8" i="1" s="1"/>
  <c r="K8" i="1" s="1"/>
  <c r="M8" i="1" s="1"/>
  <c r="E7" i="1"/>
  <c r="I7" i="1" s="1"/>
  <c r="K7" i="1" s="1"/>
  <c r="M7" i="1" s="1"/>
  <c r="E6" i="1"/>
  <c r="I6" i="1" s="1"/>
  <c r="K6" i="1" s="1"/>
  <c r="M6" i="1" s="1"/>
  <c r="E5" i="1"/>
  <c r="I5" i="1" s="1"/>
  <c r="K5" i="1" s="1"/>
  <c r="M5" i="1" s="1"/>
  <c r="E4" i="1"/>
  <c r="I4" i="1" s="1"/>
  <c r="K4" i="1" s="1"/>
  <c r="M4" i="1" s="1"/>
  <c r="E3" i="1"/>
  <c r="I3" i="1" s="1"/>
  <c r="M919" i="1" l="1"/>
  <c r="M1014" i="1" s="1"/>
  <c r="K1014" i="1"/>
  <c r="E914" i="1"/>
  <c r="I914" i="1"/>
  <c r="K739" i="1"/>
  <c r="I828" i="1"/>
  <c r="E828" i="1"/>
  <c r="K833" i="1"/>
  <c r="M389" i="1"/>
  <c r="I84" i="1"/>
  <c r="K3" i="1"/>
  <c r="E84" i="1"/>
  <c r="I389" i="1"/>
  <c r="K389" i="1"/>
  <c r="E389" i="1"/>
  <c r="I626" i="1"/>
  <c r="E659" i="1"/>
  <c r="E621" i="1"/>
  <c r="I396" i="1"/>
  <c r="M739" i="1" l="1"/>
  <c r="M828" i="1" s="1"/>
  <c r="K828" i="1"/>
  <c r="K914" i="1"/>
  <c r="M833" i="1"/>
  <c r="M914" i="1" s="1"/>
  <c r="I659" i="1"/>
  <c r="K626" i="1"/>
  <c r="I621" i="1"/>
  <c r="K396" i="1"/>
  <c r="K84" i="1"/>
  <c r="M3" i="1"/>
  <c r="M84" i="1" s="1"/>
  <c r="K621" i="1" l="1"/>
  <c r="M396" i="1"/>
  <c r="M621" i="1" s="1"/>
  <c r="M626" i="1"/>
  <c r="M659" i="1" s="1"/>
  <c r="K659" i="1"/>
</calcChain>
</file>

<file path=xl/sharedStrings.xml><?xml version="1.0" encoding="utf-8"?>
<sst xmlns="http://schemas.openxmlformats.org/spreadsheetml/2006/main" count="6842" uniqueCount="1237">
  <si>
    <t>Sales (APRIL)</t>
  </si>
  <si>
    <t>Date</t>
  </si>
  <si>
    <t>Vehicle No.</t>
  </si>
  <si>
    <t>Gross Wt.</t>
  </si>
  <si>
    <t>Tare (Empty Wt.)</t>
  </si>
  <si>
    <t>Net Wt.</t>
  </si>
  <si>
    <t>Size</t>
  </si>
  <si>
    <t>Party Name</t>
  </si>
  <si>
    <t>Rate</t>
  </si>
  <si>
    <t>Amount</t>
  </si>
  <si>
    <t>Charges</t>
  </si>
  <si>
    <t>Total</t>
  </si>
  <si>
    <t>Rebate</t>
  </si>
  <si>
    <t>Amount Received</t>
  </si>
  <si>
    <t>Remarks</t>
  </si>
  <si>
    <t>PRODUCT</t>
  </si>
  <si>
    <t>TONAGE</t>
  </si>
  <si>
    <t>OD09X3940</t>
  </si>
  <si>
    <t>10MM</t>
  </si>
  <si>
    <t xml:space="preserve">GAURO HARI </t>
  </si>
  <si>
    <t>CASH</t>
  </si>
  <si>
    <t xml:space="preserve">DUST </t>
  </si>
  <si>
    <t>OD14E8350</t>
  </si>
  <si>
    <t>20MM</t>
  </si>
  <si>
    <t>ADARSH AGARWAL</t>
  </si>
  <si>
    <t>ONLINE</t>
  </si>
  <si>
    <t>BOLDER</t>
  </si>
  <si>
    <t>OD09R9279</t>
  </si>
  <si>
    <t>MUNA NAIK</t>
  </si>
  <si>
    <t>6MM</t>
  </si>
  <si>
    <t>OD14E9097</t>
  </si>
  <si>
    <t>H.BARIK</t>
  </si>
  <si>
    <t>NAGENDRA PRADHAN</t>
  </si>
  <si>
    <t>KAMANDA</t>
  </si>
  <si>
    <t>ADVANCE</t>
  </si>
  <si>
    <t>40MM</t>
  </si>
  <si>
    <t>OD14E9742</t>
  </si>
  <si>
    <t>BINOD SAHU</t>
  </si>
  <si>
    <t>DUST</t>
  </si>
  <si>
    <t>SHREE RAM TRADER</t>
  </si>
  <si>
    <t>OD09G0912</t>
  </si>
  <si>
    <t>CHAKRADHAR CHAMPIA</t>
  </si>
  <si>
    <t>OD14E7440</t>
  </si>
  <si>
    <t>S.N.SINGH NILANCHAL</t>
  </si>
  <si>
    <t>CREDIT</t>
  </si>
  <si>
    <t>SANKAR PRASAD</t>
  </si>
  <si>
    <t>PEO MALDA</t>
  </si>
  <si>
    <t>OD14E8395</t>
  </si>
  <si>
    <t>BALAJEE</t>
  </si>
  <si>
    <t>OD14E8349</t>
  </si>
  <si>
    <t>NARESH SINGH</t>
  </si>
  <si>
    <t>OD14E8399</t>
  </si>
  <si>
    <t>KRUSHNA CHANDRA</t>
  </si>
  <si>
    <t>NANA GWALI</t>
  </si>
  <si>
    <t>DHIREN BABU</t>
  </si>
  <si>
    <t>OD14Z7210</t>
  </si>
  <si>
    <t>B.K.BARIK</t>
  </si>
  <si>
    <t>L&amp;T</t>
  </si>
  <si>
    <t>OD14E7830</t>
  </si>
  <si>
    <t>GOURI RUGDI</t>
  </si>
  <si>
    <t>OD09R3256</t>
  </si>
  <si>
    <t>SUJIT BEHRA SARGIGARH</t>
  </si>
  <si>
    <t>GOURI SHANEAR</t>
  </si>
  <si>
    <t>OD33AP7110</t>
  </si>
  <si>
    <t>ASHISH RAI</t>
  </si>
  <si>
    <t>NEW EXPRESSION</t>
  </si>
  <si>
    <t>JENA</t>
  </si>
  <si>
    <t>OD14E9271</t>
  </si>
  <si>
    <t>OD14Y2321</t>
  </si>
  <si>
    <t>DEBU JAISWAL</t>
  </si>
  <si>
    <t>OD14Y6621</t>
  </si>
  <si>
    <t>ABHISHEK TOPNA</t>
  </si>
  <si>
    <t>SP BENEFICATION</t>
  </si>
  <si>
    <t>ASHUTOSH MOHANTY</t>
  </si>
  <si>
    <t>WB03D5601</t>
  </si>
  <si>
    <t>S.SLALA</t>
  </si>
  <si>
    <t>NAIK CHAMPA</t>
  </si>
  <si>
    <t>OD14AH7157</t>
  </si>
  <si>
    <t>AJIT KUMAR GWALI</t>
  </si>
  <si>
    <t xml:space="preserve">PEO MALDA </t>
  </si>
  <si>
    <t>ANMS/L&amp;T SEGASAHI</t>
  </si>
  <si>
    <t>GOURA HARI RUGUDI</t>
  </si>
  <si>
    <t>NAIK BABU NEAR UP SCHOOL</t>
  </si>
  <si>
    <t>TOTAL</t>
  </si>
  <si>
    <t>Sales (MAY)</t>
  </si>
  <si>
    <t>AUSHTOSH MOHANTY NILANCHAL</t>
  </si>
  <si>
    <t>OD09AB5519</t>
  </si>
  <si>
    <t xml:space="preserve">SUKRA MAHAKUD SIDMA </t>
  </si>
  <si>
    <t>OD14E7432</t>
  </si>
  <si>
    <t>S.P ISPAT SANUA</t>
  </si>
  <si>
    <t>PANDA BABU NEAR CITY OFFICE</t>
  </si>
  <si>
    <t>CHAKARO NAIK, RUGUDI</t>
  </si>
  <si>
    <t>OR09N8296</t>
  </si>
  <si>
    <t xml:space="preserve">SAHOO BABU KOIRA </t>
  </si>
  <si>
    <t>MAA TARINI ENTERPRISES SANINDPUR</t>
  </si>
  <si>
    <t xml:space="preserve">BALAJI CONSTRUCTION SEGASAHI </t>
  </si>
  <si>
    <t>OR14Q6691</t>
  </si>
  <si>
    <t xml:space="preserve">SUBASH BABU KOIRA </t>
  </si>
  <si>
    <t>OD14W2348</t>
  </si>
  <si>
    <t xml:space="preserve">ANKIT KUMAR SAHOO KOIRA </t>
  </si>
  <si>
    <t>OD09F3126</t>
  </si>
  <si>
    <t>BIJU DEHURY ,TEHERAI</t>
  </si>
  <si>
    <t>N.PRADHAN GUALI</t>
  </si>
  <si>
    <t xml:space="preserve">ONLINE </t>
  </si>
  <si>
    <t>OR14M7149</t>
  </si>
  <si>
    <t xml:space="preserve">JALO BABU KOIRA </t>
  </si>
  <si>
    <t>OD14E3385</t>
  </si>
  <si>
    <t xml:space="preserve">BABLI BABU RAIKELA </t>
  </si>
  <si>
    <t>OD09G1931</t>
  </si>
  <si>
    <t xml:space="preserve">RABI ORAM CHOR MALDA </t>
  </si>
  <si>
    <t xml:space="preserve">SAMAL BABU KOIRA </t>
  </si>
  <si>
    <t xml:space="preserve">R.R. JENA TODA </t>
  </si>
  <si>
    <t>OR09M7659</t>
  </si>
  <si>
    <t>10/20MM</t>
  </si>
  <si>
    <t>SHRINATH ORAM KOIRA</t>
  </si>
  <si>
    <t>OD14E8396</t>
  </si>
  <si>
    <t>CHAKRA TANTIA  KADAWANG</t>
  </si>
  <si>
    <t>NARESH SINGH PANPOSIA</t>
  </si>
  <si>
    <t xml:space="preserve">SHREE RAM TRADERS </t>
  </si>
  <si>
    <t>S.P ISPAT LTD SANUA</t>
  </si>
  <si>
    <t xml:space="preserve">NARESH SINGH SONUA </t>
  </si>
  <si>
    <t>JAJATI GIRI SANIDPUR</t>
  </si>
  <si>
    <t>OD09G0540</t>
  </si>
  <si>
    <t xml:space="preserve">MANOJ PATRA KOIRA </t>
  </si>
  <si>
    <t>GOURA HARI RUGUDHI</t>
  </si>
  <si>
    <t>OR09G0912</t>
  </si>
  <si>
    <t>CHAKRA NAIK RUGUDIH</t>
  </si>
  <si>
    <t>OD14E9797</t>
  </si>
  <si>
    <t>ADARASH AGRAWAL PATAMUNDA</t>
  </si>
  <si>
    <t xml:space="preserve">BINOD SAHU KOIRA </t>
  </si>
  <si>
    <t>OR09M8296</t>
  </si>
  <si>
    <t>BIDIS PATO</t>
  </si>
  <si>
    <t>CHAKRA NAIK RUGUDHI</t>
  </si>
  <si>
    <t>OD09V7821</t>
  </si>
  <si>
    <t>ABHINASH SHARMA KOIRA</t>
  </si>
  <si>
    <t>SAHU BABU SANINDPUR</t>
  </si>
  <si>
    <t>BINOD SAHU JALDIH</t>
  </si>
  <si>
    <t>S.P.M OFFICE KOIRA</t>
  </si>
  <si>
    <t>OD09U7979</t>
  </si>
  <si>
    <t>NANDA BABU KOIRA</t>
  </si>
  <si>
    <t>JAGATI KESHARI GIRI SANINDPUR</t>
  </si>
  <si>
    <t>NEW EXPRESSION NILANCHAL</t>
  </si>
  <si>
    <t>DEBU BABU KOIRA</t>
  </si>
  <si>
    <t>OD02PQ2712</t>
  </si>
  <si>
    <t>AMIR KHAN NILANCHAL</t>
  </si>
  <si>
    <t>ISSAC MUNDA GUALI</t>
  </si>
  <si>
    <t>TRACTOR</t>
  </si>
  <si>
    <t>BAIRAGI BARIK SANINDPUR</t>
  </si>
  <si>
    <t>MANOJ PALAI SANINDPUR</t>
  </si>
  <si>
    <t>AKHAY KUMAR DAS TEHARAI</t>
  </si>
  <si>
    <t>OD05AT8566</t>
  </si>
  <si>
    <t>DASARATHI MUNDA RENGALBEDA</t>
  </si>
  <si>
    <t>Sales (JUNE)</t>
  </si>
  <si>
    <t>R.R.JENA TODA</t>
  </si>
  <si>
    <t>SAMAL BABU NEAR NE MINES</t>
  </si>
  <si>
    <t>S.P.ISPAT SANUA</t>
  </si>
  <si>
    <t>BALAJEE CONSTRUCTION</t>
  </si>
  <si>
    <t>N.PRADHAN GWALI</t>
  </si>
  <si>
    <t>CHAKARO NAIK CHAMPIA</t>
  </si>
  <si>
    <t>ARJUN PALAI</t>
  </si>
  <si>
    <t>SAHOO BABU TEHRAI</t>
  </si>
  <si>
    <t>OD14E8397</t>
  </si>
  <si>
    <t>K.B.S KASHIRA 7205871236</t>
  </si>
  <si>
    <t>PRADEEP MAHARANA</t>
  </si>
  <si>
    <t>CHAKRA NAIK</t>
  </si>
  <si>
    <t>BIJU DEHURY TEHRAI</t>
  </si>
  <si>
    <t>OD14E8393</t>
  </si>
  <si>
    <t>BINOD SAHOO</t>
  </si>
  <si>
    <t>MAA TARNI ENTERPRISE</t>
  </si>
  <si>
    <t>BIKRAM MUNDA</t>
  </si>
  <si>
    <t>BABLI MUNDA</t>
  </si>
  <si>
    <t>OD05BT2715</t>
  </si>
  <si>
    <t>20MM &amp; DUST</t>
  </si>
  <si>
    <t>AMIR KHAN GUALI</t>
  </si>
  <si>
    <t>1350&amp;500</t>
  </si>
  <si>
    <t>M.D.AKIB</t>
  </si>
  <si>
    <t>BINAY DAS</t>
  </si>
  <si>
    <t>PRAKASH ENTERPRISE</t>
  </si>
  <si>
    <t>NARESH NAIK</t>
  </si>
  <si>
    <t>OD14E3150</t>
  </si>
  <si>
    <t>PARESH KUMAR BISWAL</t>
  </si>
  <si>
    <t>OD14AE7280</t>
  </si>
  <si>
    <t xml:space="preserve">SANJAY PATRO </t>
  </si>
  <si>
    <t>OR14R5034</t>
  </si>
  <si>
    <t>SUBHASH BABU</t>
  </si>
  <si>
    <t>Sales (JULY)</t>
  </si>
  <si>
    <t>CHAKARA NAIK</t>
  </si>
  <si>
    <t>OD09N8296</t>
  </si>
  <si>
    <t>BIJU PATRO</t>
  </si>
  <si>
    <t>KISAN SEK TENSA</t>
  </si>
  <si>
    <t>OD14AD3196</t>
  </si>
  <si>
    <t>R.K.CONSTRUCTION</t>
  </si>
  <si>
    <t>BANK</t>
  </si>
  <si>
    <t>OD19Q1519</t>
  </si>
  <si>
    <t>HARIS CH. BEHRA</t>
  </si>
  <si>
    <t>OD09G2016</t>
  </si>
  <si>
    <t>OD04P5423</t>
  </si>
  <si>
    <t>SURESH APAT PATMUNDA</t>
  </si>
  <si>
    <t>SHREE RAM TRADERS</t>
  </si>
  <si>
    <t>BIJU DEHURY</t>
  </si>
  <si>
    <t>SANJAY PATRO</t>
  </si>
  <si>
    <t>S.P.ISPAT PLANT</t>
  </si>
  <si>
    <t xml:space="preserve">MAA MANGLA </t>
  </si>
  <si>
    <t>OD14U5301</t>
  </si>
  <si>
    <t>SAMAL BABU</t>
  </si>
  <si>
    <t>MASCOT ELECTRO</t>
  </si>
  <si>
    <t>OD09G3126</t>
  </si>
  <si>
    <t>OD14N5456</t>
  </si>
  <si>
    <t>CASH EXPENSES (APRIL)</t>
  </si>
  <si>
    <t>BANK EXPENSES (APRIL)</t>
  </si>
  <si>
    <t>DATE</t>
  </si>
  <si>
    <t>PARTICULARS</t>
  </si>
  <si>
    <t>AMOUNT</t>
  </si>
  <si>
    <t>REMARKS</t>
  </si>
  <si>
    <t>01.04.25</t>
  </si>
  <si>
    <t>CHALLAN PAYMENTN</t>
  </si>
  <si>
    <t>EDFS</t>
  </si>
  <si>
    <t>02.04.25</t>
  </si>
  <si>
    <t>META SPONGE PVT LTD.</t>
  </si>
  <si>
    <t>REFUND</t>
  </si>
  <si>
    <t>TRANSACTION CHARGES</t>
  </si>
  <si>
    <t>ANIKET</t>
  </si>
  <si>
    <t>ELECTRICITY BILL</t>
  </si>
  <si>
    <t>03.04.25</t>
  </si>
  <si>
    <t>HOUSE PIPE,CLAMP</t>
  </si>
  <si>
    <t>GST</t>
  </si>
  <si>
    <t>LALIT ELECTRIC RKL</t>
  </si>
  <si>
    <t>SALARY</t>
  </si>
  <si>
    <t xml:space="preserve">MANOJ SETHA </t>
  </si>
  <si>
    <t>ZINKA LOGISTIC</t>
  </si>
  <si>
    <t>HOUSE MESS</t>
  </si>
  <si>
    <t>04.04.25</t>
  </si>
  <si>
    <t>BISWAKARMA ENGG.</t>
  </si>
  <si>
    <t>KOIRA AUTO ELECTRIC</t>
  </si>
  <si>
    <t>K.K-2 HOUSE EXPENSES</t>
  </si>
  <si>
    <t>DRINKIG WATER</t>
  </si>
  <si>
    <t>05.04.25</t>
  </si>
  <si>
    <t>RAITEL TUTU</t>
  </si>
  <si>
    <t>TRADING LICENSE APPLY</t>
  </si>
  <si>
    <t>BILL PAID (A.DANG)</t>
  </si>
  <si>
    <t>07.04.25</t>
  </si>
  <si>
    <t>RAM NAVAMI</t>
  </si>
  <si>
    <t xml:space="preserve">S.P FUEL </t>
  </si>
  <si>
    <t>ONLINE TRF (BY SONI)</t>
  </si>
  <si>
    <t>09.04.25</t>
  </si>
  <si>
    <t xml:space="preserve">S.P ISPAT FOODING </t>
  </si>
  <si>
    <t>11.04.25</t>
  </si>
  <si>
    <t xml:space="preserve">INSPECTOR INCHARGE </t>
  </si>
  <si>
    <t>LOADER MECHANIC</t>
  </si>
  <si>
    <t>SUNNY JI STATIONARY</t>
  </si>
  <si>
    <t>12.04.25</t>
  </si>
  <si>
    <t xml:space="preserve">BREAK SHOE </t>
  </si>
  <si>
    <t>SUDHIR SAHOO</t>
  </si>
  <si>
    <t>LALIT RKL BABU</t>
  </si>
  <si>
    <t>14.04.25</t>
  </si>
  <si>
    <t>ANANT PARIDA</t>
  </si>
  <si>
    <t xml:space="preserve">ASHER DANG PARTS </t>
  </si>
  <si>
    <t>ANISH MOTOR</t>
  </si>
  <si>
    <t>15.04.25</t>
  </si>
  <si>
    <t>MTM MESS</t>
  </si>
  <si>
    <t>16.04.25</t>
  </si>
  <si>
    <t>KK-2 HOUSE EXPENSES</t>
  </si>
  <si>
    <t>CHALLAN PAYMENT</t>
  </si>
  <si>
    <t>17.04.25</t>
  </si>
  <si>
    <t>S.P FUELS</t>
  </si>
  <si>
    <t xml:space="preserve">ASHER DANG </t>
  </si>
  <si>
    <t>RAJU ADV. S.P ISPAT</t>
  </si>
  <si>
    <t>K.DAS</t>
  </si>
  <si>
    <t>18.04.25</t>
  </si>
  <si>
    <t>GAS &amp; GROCERY</t>
  </si>
  <si>
    <t>19.04.25</t>
  </si>
  <si>
    <t>MINTU MISTRI</t>
  </si>
  <si>
    <t xml:space="preserve">ANKIT BABU EXP </t>
  </si>
  <si>
    <t>20.04.25</t>
  </si>
  <si>
    <t xml:space="preserve">SN MOTORS ANANTA </t>
  </si>
  <si>
    <t>ANKIT BABU P.PAY</t>
  </si>
  <si>
    <t>21.04.25</t>
  </si>
  <si>
    <t xml:space="preserve">NEHA AQUA WATER </t>
  </si>
  <si>
    <t>OFFICE EXP BABU</t>
  </si>
  <si>
    <t>BIMALA MANDIR NANA</t>
  </si>
  <si>
    <t>22.04.25</t>
  </si>
  <si>
    <t xml:space="preserve">MTM DRIVER FOODING </t>
  </si>
  <si>
    <t>23.04.25</t>
  </si>
  <si>
    <t>S.P FUEL A/C</t>
  </si>
  <si>
    <t>DANG FOODING RKL</t>
  </si>
  <si>
    <t>24.04.25</t>
  </si>
  <si>
    <t xml:space="preserve">HYVA REPAIR </t>
  </si>
  <si>
    <t>25.04.25</t>
  </si>
  <si>
    <t>OXYGEN MTM</t>
  </si>
  <si>
    <t>NEW BUILDING PIPE REP.</t>
  </si>
  <si>
    <t xml:space="preserve">PAID TO ENGINEER </t>
  </si>
  <si>
    <t>26.04.25</t>
  </si>
  <si>
    <t>AMAN AUTO</t>
  </si>
  <si>
    <t xml:space="preserve">MINTU MISTRI </t>
  </si>
  <si>
    <t>SUDHIR SAHOO RECRAGER</t>
  </si>
  <si>
    <t>27.04.25</t>
  </si>
  <si>
    <t>GRINDER WHEEL</t>
  </si>
  <si>
    <t>28.04.25</t>
  </si>
  <si>
    <t>TERMINAL S.P ISPAT</t>
  </si>
  <si>
    <t>CLOTH FOR BINDING</t>
  </si>
  <si>
    <t>29.04.25</t>
  </si>
  <si>
    <t>HOUSE SAND BILL BY KB</t>
  </si>
  <si>
    <t>30.04.25</t>
  </si>
  <si>
    <t>SPAIR PARTS &amp; BETTERY</t>
  </si>
  <si>
    <t xml:space="preserve">BROAD BAND RECHARGE </t>
  </si>
  <si>
    <t xml:space="preserve">K.B MOBILE RECHARGE </t>
  </si>
  <si>
    <t xml:space="preserve">PAID TO S.P FUEL </t>
  </si>
  <si>
    <t>CASH EXPENSES (MAY)</t>
  </si>
  <si>
    <t>BANK EXPENSES (MAY)</t>
  </si>
  <si>
    <t>01.05.25</t>
  </si>
  <si>
    <t>ANKAM</t>
  </si>
  <si>
    <t>BY ANKIT BABU</t>
  </si>
  <si>
    <t>CBDT</t>
  </si>
  <si>
    <t>MESS EXPENSES</t>
  </si>
  <si>
    <t>SP FUELS</t>
  </si>
  <si>
    <t>02.05.25</t>
  </si>
  <si>
    <t>BREAKER HIER CHARGE</t>
  </si>
  <si>
    <t>CHARGES</t>
  </si>
  <si>
    <t>DOOR GLASS WITH MECHINE</t>
  </si>
  <si>
    <t>HM LOADER REPAIR</t>
  </si>
  <si>
    <t>03.05.25</t>
  </si>
  <si>
    <t>LABOUR PAYMENT</t>
  </si>
  <si>
    <t>HOUSE BUILDING</t>
  </si>
  <si>
    <t xml:space="preserve">CAMPER BATTERY </t>
  </si>
  <si>
    <t>BY DANG BABU</t>
  </si>
  <si>
    <t>04.05.25</t>
  </si>
  <si>
    <t>NEW BATTERY</t>
  </si>
  <si>
    <t>05.05.25</t>
  </si>
  <si>
    <t xml:space="preserve"> ANANTA BAHII</t>
  </si>
  <si>
    <t>MOBILE RECHARGE</t>
  </si>
  <si>
    <t>FOODING (DANG)</t>
  </si>
  <si>
    <t>BY KALA BABU</t>
  </si>
  <si>
    <t>06.05.25</t>
  </si>
  <si>
    <t>DTIVER FOODING MTM</t>
  </si>
  <si>
    <t>07.05.25</t>
  </si>
  <si>
    <t>ANIKET ADV.</t>
  </si>
  <si>
    <t>08.05.25</t>
  </si>
  <si>
    <t>ASHER DANG ADV.</t>
  </si>
  <si>
    <t>09.05.25</t>
  </si>
  <si>
    <t>MTM BREAKER PAYMENT</t>
  </si>
  <si>
    <t>10.05.25</t>
  </si>
  <si>
    <t>NEW BUILDING ADV.</t>
  </si>
  <si>
    <t>11.05.25</t>
  </si>
  <si>
    <t>MTM LOADER NUT &amp; BOLT</t>
  </si>
  <si>
    <t>12.05.25</t>
  </si>
  <si>
    <t>MINTU MISTRI (PATTA)</t>
  </si>
  <si>
    <t>VECHILE MAINTANCE</t>
  </si>
  <si>
    <t>13.05.25</t>
  </si>
  <si>
    <t>KAMANDA PLANT EXPENSES</t>
  </si>
  <si>
    <t>DRIVER FOODING</t>
  </si>
  <si>
    <t>130 MECHINE REPAIR</t>
  </si>
  <si>
    <t xml:space="preserve">K.K 2 HOUSE EXP. </t>
  </si>
  <si>
    <t>14.05.25</t>
  </si>
  <si>
    <t>HOUSE MESS EXP.</t>
  </si>
  <si>
    <t>15.05.25</t>
  </si>
  <si>
    <t xml:space="preserve">ANIKET </t>
  </si>
  <si>
    <t>130 PARTS</t>
  </si>
  <si>
    <t>DANG  BABU</t>
  </si>
  <si>
    <t>PETROL &amp; FOODING</t>
  </si>
  <si>
    <t>MTM MESS EXP.</t>
  </si>
  <si>
    <t>BY ANANTA BHAII</t>
  </si>
  <si>
    <t>16.05.25</t>
  </si>
  <si>
    <t>POLYTHENE</t>
  </si>
  <si>
    <t>TYRE POWDER</t>
  </si>
  <si>
    <t>KAMANDA LOADING</t>
  </si>
  <si>
    <t>BOLT MTM RKL</t>
  </si>
  <si>
    <t>17.05.25</t>
  </si>
  <si>
    <t>18.05.25</t>
  </si>
  <si>
    <t>MTM OXYGEN</t>
  </si>
  <si>
    <t>MTM BOLERO EXP.</t>
  </si>
  <si>
    <t>ANANTA BAHII</t>
  </si>
  <si>
    <t>19.05.25</t>
  </si>
  <si>
    <t>VAISHNAVADEVI BILL</t>
  </si>
  <si>
    <t>20.05.25</t>
  </si>
  <si>
    <t>21.05.25</t>
  </si>
  <si>
    <t>TRS TO SP ISPAT</t>
  </si>
  <si>
    <t>ANKIT BABU</t>
  </si>
  <si>
    <t>22.05.25</t>
  </si>
  <si>
    <t>BY SONI BHAII</t>
  </si>
  <si>
    <t>THAR SERVECING</t>
  </si>
  <si>
    <t>ANKI BABU SBI A/C DEP.</t>
  </si>
  <si>
    <t>23.05.25</t>
  </si>
  <si>
    <t>8399 VECHILE EXP.</t>
  </si>
  <si>
    <t>24.05.25</t>
  </si>
  <si>
    <t>MINTU MISTRI ADV.</t>
  </si>
  <si>
    <t>25.05.25</t>
  </si>
  <si>
    <t>NARESH BELT JOINTING</t>
  </si>
  <si>
    <t>26.05.25</t>
  </si>
  <si>
    <t>HOUSE PIPE WORK (GANGA BABU)</t>
  </si>
  <si>
    <t>27.05.25</t>
  </si>
  <si>
    <t xml:space="preserve">DANG FOR PARTS </t>
  </si>
  <si>
    <t>MUSKAN ELECTRICAL</t>
  </si>
  <si>
    <t>BY LALIT BABU</t>
  </si>
  <si>
    <t>MTM DRIVER FOODING</t>
  </si>
  <si>
    <t>28.05.25</t>
  </si>
  <si>
    <t>DRIVER CHALLAN PAYMENT</t>
  </si>
  <si>
    <t>29.05.25</t>
  </si>
  <si>
    <t xml:space="preserve">WELDING ROD </t>
  </si>
  <si>
    <t>BY KAILASH DASH</t>
  </si>
  <si>
    <t>REDIATER BILL</t>
  </si>
  <si>
    <t>SUDHIR MOBILE RECHARGE</t>
  </si>
  <si>
    <t>PLUMBER NEW HOUSE EXP.</t>
  </si>
  <si>
    <t>30.05.25</t>
  </si>
  <si>
    <t>VECHILE SPARE PARTS</t>
  </si>
  <si>
    <t>POLYTHENE (KAILASH DAS)</t>
  </si>
  <si>
    <t>31.05.25</t>
  </si>
  <si>
    <t>S.N MOTORS PARTS (SUDHIR)</t>
  </si>
  <si>
    <t>KOIRA AUTO ELECTRIC (7830)</t>
  </si>
  <si>
    <t>CASH EXPENSES (JUNE)</t>
  </si>
  <si>
    <t>BANK EXPENSES (JUNE)</t>
  </si>
  <si>
    <t>S.P ISPAT</t>
  </si>
  <si>
    <t>ICICI SP FUELS</t>
  </si>
  <si>
    <t>NAIL &amp; WIRE</t>
  </si>
  <si>
    <t>HOUSE CONSTRUCTION</t>
  </si>
  <si>
    <t>MINTU ADVANCE</t>
  </si>
  <si>
    <t>CASH REFUND TO FLS</t>
  </si>
  <si>
    <t>ANAT MOBILE RECHARGE</t>
  </si>
  <si>
    <t>SPFUELS</t>
  </si>
  <si>
    <t>THAR FASTAG</t>
  </si>
  <si>
    <t>SP FUEL</t>
  </si>
  <si>
    <t>RAMJI BABU RECHARGE</t>
  </si>
  <si>
    <t>REFUND ASHISH</t>
  </si>
  <si>
    <t>MARRIAGE TRILOCHAN SAHOO</t>
  </si>
  <si>
    <t>DANG RECHARGE</t>
  </si>
  <si>
    <t>BROADBAND LINE RECHARGE</t>
  </si>
  <si>
    <t>RUSHI NAIK</t>
  </si>
  <si>
    <t>MTM BREAKER</t>
  </si>
  <si>
    <t>ROOJO SALARY ADVANCE</t>
  </si>
  <si>
    <t>ANAT PARIDA SALARY ADV.</t>
  </si>
  <si>
    <t>MANOJ CONTRACTOR</t>
  </si>
  <si>
    <t>NANA SALARY</t>
  </si>
  <si>
    <t>4488 MTM BOLERO INSURANCE</t>
  </si>
  <si>
    <t>CASH EXPENSES (JULY)</t>
  </si>
  <si>
    <t>BANK EXPENSES (JULY))</t>
  </si>
  <si>
    <t>01.07.25</t>
  </si>
  <si>
    <t>PUNESHWARI PROJECT</t>
  </si>
  <si>
    <t>CORPORATE BILL</t>
  </si>
  <si>
    <t>TAX PAYMENT</t>
  </si>
  <si>
    <t>03.07.25</t>
  </si>
  <si>
    <t xml:space="preserve">ANIKET BABU </t>
  </si>
  <si>
    <t>POCLAIN</t>
  </si>
  <si>
    <t>THAR EXPENSES</t>
  </si>
  <si>
    <t>MAINTENANCE</t>
  </si>
  <si>
    <t xml:space="preserve">ANKIT BABU </t>
  </si>
  <si>
    <t>AC DEP.</t>
  </si>
  <si>
    <t>ANJALI ENTERPRISE</t>
  </si>
  <si>
    <t>04.07.25</t>
  </si>
  <si>
    <t>ANISH MOTORS</t>
  </si>
  <si>
    <t>PURI HOUSE EXPENSES</t>
  </si>
  <si>
    <t>THAR SERVICING</t>
  </si>
  <si>
    <t>PERMIT</t>
  </si>
  <si>
    <t>THAR EMI</t>
  </si>
  <si>
    <t>NET REPAIRING</t>
  </si>
  <si>
    <t>PAYMENT BILL</t>
  </si>
  <si>
    <t>06.07.25</t>
  </si>
  <si>
    <t>BIDING WIRE</t>
  </si>
  <si>
    <t>MISC</t>
  </si>
  <si>
    <t>07.07.25</t>
  </si>
  <si>
    <t xml:space="preserve">REFUND TO BHARGAVA </t>
  </si>
  <si>
    <t>TO SP FUEL CASH</t>
  </si>
  <si>
    <t>08.07.25</t>
  </si>
  <si>
    <t>SITHA BABU BBL EXP.</t>
  </si>
  <si>
    <t>10.07.25</t>
  </si>
  <si>
    <t>MTM BALERO RC EXP.</t>
  </si>
  <si>
    <t>GOBINDA BHAII</t>
  </si>
  <si>
    <t>AC TRANSFER</t>
  </si>
  <si>
    <t>11.07.25</t>
  </si>
  <si>
    <t>A/C DEP.</t>
  </si>
  <si>
    <t>BINDING WIRE</t>
  </si>
  <si>
    <t>BALERO REP. BILL</t>
  </si>
  <si>
    <t>ASHER MUNDA</t>
  </si>
  <si>
    <t>12.07.25</t>
  </si>
  <si>
    <t>HOUSE GOODS SHIFTING</t>
  </si>
  <si>
    <t>13.07.25</t>
  </si>
  <si>
    <t>MTM MECHINE SELF REPAIRING</t>
  </si>
  <si>
    <t>15.07.25</t>
  </si>
  <si>
    <t>MANOJ SHARMA</t>
  </si>
  <si>
    <t xml:space="preserve">ASLAM TILES </t>
  </si>
  <si>
    <t>RAMJEE BABU</t>
  </si>
  <si>
    <t>16.07.25</t>
  </si>
  <si>
    <t>SUDHIR</t>
  </si>
  <si>
    <t>P.C COMMUNICATION MTM</t>
  </si>
  <si>
    <t>17.07.25</t>
  </si>
  <si>
    <t>HOUSE CONSTRUCTION MECHINE CHARGE</t>
  </si>
  <si>
    <t>18.07.25</t>
  </si>
  <si>
    <t>ROPE (2.600)KG</t>
  </si>
  <si>
    <t>MOTOR SHACKET</t>
  </si>
  <si>
    <t>19.07.25</t>
  </si>
  <si>
    <t>WIFI RECHARGE</t>
  </si>
  <si>
    <t>RANJAN</t>
  </si>
  <si>
    <t>20.07.25</t>
  </si>
  <si>
    <t>GARAGE SPARE PARTS</t>
  </si>
  <si>
    <t>21.07.25</t>
  </si>
  <si>
    <t>24.07.25</t>
  </si>
  <si>
    <t>HOUSE CONSTRUCTION NAIL</t>
  </si>
  <si>
    <t>LALIT BHAII BILL</t>
  </si>
  <si>
    <t>25.07.25</t>
  </si>
  <si>
    <t>CARPENTER BILL PAID</t>
  </si>
  <si>
    <t>26.07.25</t>
  </si>
  <si>
    <t>WALL FILLING</t>
  </si>
  <si>
    <t>BUS FAIR (K DAS)</t>
  </si>
  <si>
    <t>WIRE &amp; NAIL</t>
  </si>
  <si>
    <t>27.07.25</t>
  </si>
  <si>
    <t>28.07.25</t>
  </si>
  <si>
    <t>29.07.25</t>
  </si>
  <si>
    <t>PHONE PAY</t>
  </si>
  <si>
    <t>P&amp;L - APRIL</t>
  </si>
  <si>
    <t>Particulars</t>
  </si>
  <si>
    <t>CASH EXP</t>
  </si>
  <si>
    <t>SALES</t>
  </si>
  <si>
    <t>ONLINE EXP.</t>
  </si>
  <si>
    <t>LOSS</t>
  </si>
  <si>
    <t>P&amp;L - MAY</t>
  </si>
  <si>
    <t>PROFIT</t>
  </si>
  <si>
    <t>P&amp;L - JUNE</t>
  </si>
  <si>
    <t>31-06-2025</t>
  </si>
  <si>
    <t>P&amp;L - JULY</t>
  </si>
  <si>
    <t>P&amp;L - SEPTEMBER</t>
  </si>
  <si>
    <t>CASH EXPENSES</t>
  </si>
  <si>
    <t>SALES:</t>
  </si>
  <si>
    <t>BANK EXPENSES</t>
  </si>
  <si>
    <t>NET PROFIT</t>
  </si>
  <si>
    <t>CASH EXPENSES (SEPTEMBER)</t>
  </si>
  <si>
    <t>BANK EXPENSES (SEPTEMBER)</t>
  </si>
  <si>
    <t>GST/BANK REFERENCE NO: R2526367004022/CIN NO: HDFC25092100072382</t>
  </si>
  <si>
    <t>RAMJI BABU MOBILE RECHARGE</t>
  </si>
  <si>
    <t>BHDFZ6K0WUF7T7/BILLDKODISHADISCOM</t>
  </si>
  <si>
    <t>NEFT DR-SBIN0005756-ANATA KUMAR PARIDA-NETBANK, MUM-HDFCN52025092998116919-SALARY PAYMENT</t>
  </si>
  <si>
    <t>MINTU LABOUR PAYMENT</t>
  </si>
  <si>
    <t>NEFT DR-SBIN0005756-RAMESH CHANDRA PRADHAN-NETBANK, MUM-HDFCN52025092998133412-SALARY PAYMENT</t>
  </si>
  <si>
    <t>MANOJ SITHA</t>
  </si>
  <si>
    <t>FASTAG</t>
  </si>
  <si>
    <t>NEFT DR-SBIN0005756-RAMJI SINGH-NETBANK, MUM-HDFCN52025092998142594-SALARY PAYMENT</t>
  </si>
  <si>
    <t>NEFT DR-SBIN0005756-AMARJIT JHA-NETBANK, MUM-HDFCN52025092998144910-SALARY PAYMENT</t>
  </si>
  <si>
    <t>ASHER DANG</t>
  </si>
  <si>
    <t>NEFT DR-SBIN0003610-RENGA MUNDA-NETBANK, MUM-HDFCN52025092998145834-SALARY PAYMENT</t>
  </si>
  <si>
    <t>NEFT DR-BARB0KOIRAX-DALU NAIK-NETBANK, MUM-HDFCN52025092998159263-SALARY PAYMENT</t>
  </si>
  <si>
    <t>MINTU MISTRI ADV</t>
  </si>
  <si>
    <t>NEFT DR-SBIN0003610-YES MUNDA-NETBANK, MUM-HDFCN52025092998166131-SALARY PAYMENT</t>
  </si>
  <si>
    <t>ANIMAL CARE</t>
  </si>
  <si>
    <t>NEFT DR-BARB0KOIRAX-SUSHIL MUNDA-NETBANK, MUM-HDFCN52025092998182139-SALARY PAYMENT</t>
  </si>
  <si>
    <t>GARAGE</t>
  </si>
  <si>
    <t>NEFT DR-BARB0KOIRAX-BASHU NAIK-NETBANK, MUM-HDFCN52025092998191290-SALARY PAYMENT</t>
  </si>
  <si>
    <t>MINTU MISTRI PAID</t>
  </si>
  <si>
    <t>NEFT DR-BARB0KOIRAX-MOHIT DAS-NETBANK, MUM-HDFCN52025092998210142-SALARY PAYMENT</t>
  </si>
  <si>
    <t>NEFT DR-BARB0KOIRAX-PRAMOD TAPNO-NETBANK, MUM-HDFCN52025092998208018-SALARY PAYMENT</t>
  </si>
  <si>
    <t>NEFT DR-SBIN0012075-KARTIK NAIK-NETBANK, MUM-HDFCN52025092998225151-SALARY PAYMENT</t>
  </si>
  <si>
    <t>BARBIL EXP</t>
  </si>
  <si>
    <t>NEFT DR-SBIN0012075-RUSHI NAIK-NETBANK, MUM-HDFCN52025092998215704-SALARY PAYMENT</t>
  </si>
  <si>
    <t>NEFT DR-BARB0KOIRAX-SRIKRUSHNA MAHAKUD-NETBANK, MUM-HDFCN52025092998223760-SALARY PAYMENT</t>
  </si>
  <si>
    <t>NEFT DR-SBIN0005756-GEETA DEHURY-NETBANK, MUM-HDFCN52025092998248189-SALARY PAYMENT</t>
  </si>
  <si>
    <t>JAGANATH SANITARY</t>
  </si>
  <si>
    <t>NEFT DR-SBIN0005756-SABITA DAS-NETBANK, MUM-HDFCN52025092998248587-SALARY PAYMENT</t>
  </si>
  <si>
    <t>PRADHAN BABU</t>
  </si>
  <si>
    <t>NEFT DR-SBIN0005756-JYOSHNA DEHURY-NETBANK, MUM-HDFCN52025092998244717-SALARY PAYMENT</t>
  </si>
  <si>
    <t>NEFT DR-BARB0KOIRAX-PUJA DEHURY-NETBANK, MUM-HDFCN52025092998259117-SALARY PAYMENT</t>
  </si>
  <si>
    <t>WELDING ROD</t>
  </si>
  <si>
    <t>CBDT/BANK REFERENCE NO:K2527340105585/CIN NO:25093000211034HDFC/ONLINE</t>
  </si>
  <si>
    <t>WELDING MACHINE</t>
  </si>
  <si>
    <t>REPAIR</t>
  </si>
  <si>
    <t>WEEKLY LABOUR PAYMENT</t>
  </si>
  <si>
    <t>CAMPER REPAIR</t>
  </si>
  <si>
    <t>BOLDER LOADING FASTAG</t>
  </si>
  <si>
    <t>ANANTA MOBILE REACHARGE</t>
  </si>
  <si>
    <t>LOADER REPAIARING</t>
  </si>
  <si>
    <t>BREAKER BILL</t>
  </si>
  <si>
    <t>DANG MOBILE REACHARGE</t>
  </si>
  <si>
    <t>SN MOTORS</t>
  </si>
  <si>
    <t>MAHENDRA GARAGE</t>
  </si>
  <si>
    <t>FASTAG MANOJ</t>
  </si>
  <si>
    <t>NARESH MTM BELT BILL</t>
  </si>
  <si>
    <t>BREAK SHOE</t>
  </si>
  <si>
    <t>NANA MANDIR</t>
  </si>
  <si>
    <t>GANGA CONSTRUCTION</t>
  </si>
  <si>
    <t>Sales (SEPTEMBER)</t>
  </si>
  <si>
    <t>Credit</t>
  </si>
  <si>
    <t>JENA TODA</t>
  </si>
  <si>
    <t>OD14E7436</t>
  </si>
  <si>
    <t>TOWER WORK</t>
  </si>
  <si>
    <t>Cash</t>
  </si>
  <si>
    <t>PURSOTAM PATRO</t>
  </si>
  <si>
    <t>MALDA PEO</t>
  </si>
  <si>
    <t>CHAKARI NAIK</t>
  </si>
  <si>
    <t>S.P BENEFICATION</t>
  </si>
  <si>
    <t>SAHOO BABU</t>
  </si>
  <si>
    <t>PRADHAN GUALI</t>
  </si>
  <si>
    <t>SPM OFFICE</t>
  </si>
  <si>
    <t>JH05DB8719</t>
  </si>
  <si>
    <t>RATNA GUALI</t>
  </si>
  <si>
    <t>RANJAN NAIK</t>
  </si>
  <si>
    <t>SANTOSH KU. YADAV</t>
  </si>
  <si>
    <t>RAJU BABU</t>
  </si>
  <si>
    <t>CHOR MALDA</t>
  </si>
  <si>
    <t>CHAKRO NAIK</t>
  </si>
  <si>
    <t>OD09AE0450</t>
  </si>
  <si>
    <t xml:space="preserve">MANOJ KISHAN SAGAD </t>
  </si>
  <si>
    <t>PRESH KU. BISWAL</t>
  </si>
  <si>
    <t>NARESH SINGH SEGASAHI</t>
  </si>
  <si>
    <t>Sales (OCTOBER)</t>
  </si>
  <si>
    <t>RECEIVING (SEPTEMBER)</t>
  </si>
  <si>
    <t>SP CHALLAN NO.</t>
  </si>
  <si>
    <t>Sales (AUGUST)</t>
  </si>
  <si>
    <r>
      <rPr>
        <sz val="11"/>
        <rFont val="Calibri"/>
        <family val="2"/>
      </rPr>
      <t>OD09AE0540</t>
    </r>
  </si>
  <si>
    <r>
      <rPr>
        <sz val="11"/>
        <rFont val="Calibri"/>
        <family val="2"/>
      </rPr>
      <t>OD14E8395</t>
    </r>
  </si>
  <si>
    <r>
      <rPr>
        <sz val="11"/>
        <rFont val="Calibri"/>
        <family val="2"/>
      </rPr>
      <t>OD14E8350</t>
    </r>
  </si>
  <si>
    <r>
      <rPr>
        <sz val="11"/>
        <rFont val="Calibri"/>
        <family val="2"/>
      </rPr>
      <t>OD14AE7280</t>
    </r>
  </si>
  <si>
    <r>
      <rPr>
        <sz val="11"/>
        <rFont val="Calibri"/>
        <family val="2"/>
      </rPr>
      <t>OR16E2107</t>
    </r>
  </si>
  <si>
    <r>
      <rPr>
        <sz val="11"/>
        <rFont val="Calibri"/>
        <family val="2"/>
      </rPr>
      <t>OD14E8399</t>
    </r>
  </si>
  <si>
    <r>
      <rPr>
        <sz val="11"/>
        <rFont val="Calibri"/>
        <family val="2"/>
      </rPr>
      <t>OD14E7432</t>
    </r>
  </si>
  <si>
    <r>
      <rPr>
        <sz val="11"/>
        <rFont val="Calibri"/>
        <family val="2"/>
      </rPr>
      <t>OD09V2840</t>
    </r>
  </si>
  <si>
    <r>
      <rPr>
        <sz val="11"/>
        <rFont val="Calibri"/>
        <family val="2"/>
      </rPr>
      <t>OD14E9271</t>
    </r>
  </si>
  <si>
    <r>
      <rPr>
        <sz val="11"/>
        <rFont val="Calibri"/>
        <family val="2"/>
      </rPr>
      <t>OD14E7830</t>
    </r>
  </si>
  <si>
    <r>
      <rPr>
        <sz val="11"/>
        <rFont val="Calibri"/>
        <family val="2"/>
      </rPr>
      <t>OD09G0912</t>
    </r>
  </si>
  <si>
    <r>
      <rPr>
        <sz val="11"/>
        <rFont val="Calibri"/>
        <family val="2"/>
      </rPr>
      <t>OD14E9097</t>
    </r>
  </si>
  <si>
    <r>
      <rPr>
        <sz val="11"/>
        <rFont val="Calibri"/>
        <family val="2"/>
      </rPr>
      <t>OD14E8349</t>
    </r>
  </si>
  <si>
    <r>
      <rPr>
        <sz val="11"/>
        <rFont val="Calibri"/>
        <family val="2"/>
      </rPr>
      <t>OR09N8296</t>
    </r>
  </si>
  <si>
    <r>
      <rPr>
        <sz val="11"/>
        <rFont val="Calibri"/>
        <family val="2"/>
      </rPr>
      <t>OR14Q6691</t>
    </r>
  </si>
  <si>
    <r>
      <rPr>
        <sz val="11"/>
        <rFont val="Calibri"/>
        <family val="2"/>
      </rPr>
      <t>OD14E7440</t>
    </r>
  </si>
  <si>
    <r>
      <rPr>
        <sz val="11"/>
        <rFont val="Calibri"/>
        <family val="2"/>
      </rPr>
      <t>OE16D5782</t>
    </r>
  </si>
  <si>
    <r>
      <rPr>
        <sz val="11"/>
        <rFont val="Calibri"/>
        <family val="2"/>
      </rPr>
      <t>20MM</t>
    </r>
  </si>
  <si>
    <r>
      <rPr>
        <sz val="11"/>
        <rFont val="Calibri"/>
        <family val="2"/>
      </rPr>
      <t>40MM</t>
    </r>
  </si>
  <si>
    <r>
      <rPr>
        <sz val="11"/>
        <rFont val="Calibri"/>
        <family val="2"/>
      </rPr>
      <t>DUST</t>
    </r>
  </si>
  <si>
    <r>
      <rPr>
        <sz val="11"/>
        <rFont val="Calibri"/>
        <family val="2"/>
      </rPr>
      <t>10MM</t>
    </r>
  </si>
  <si>
    <r>
      <rPr>
        <sz val="11"/>
        <rFont val="Calibri"/>
        <family val="2"/>
      </rPr>
      <t>BOLDER</t>
    </r>
  </si>
  <si>
    <r>
      <rPr>
        <sz val="11"/>
        <rFont val="Calibri"/>
        <family val="2"/>
      </rPr>
      <t>SUBASH BABU</t>
    </r>
  </si>
  <si>
    <r>
      <rPr>
        <sz val="11"/>
        <rFont val="Calibri"/>
        <family val="2"/>
      </rPr>
      <t>SP ISPAT BENEFICATION</t>
    </r>
  </si>
  <si>
    <r>
      <rPr>
        <sz val="11"/>
        <rFont val="Calibri"/>
        <family val="2"/>
      </rPr>
      <t>SAHU BABU</t>
    </r>
  </si>
  <si>
    <r>
      <rPr>
        <sz val="11"/>
        <rFont val="Calibri"/>
        <family val="2"/>
      </rPr>
      <t>BINOD SAHOO</t>
    </r>
  </si>
  <si>
    <r>
      <rPr>
        <sz val="11"/>
        <rFont val="Calibri"/>
        <family val="2"/>
      </rPr>
      <t>MAA MANGLA ENTERPRISE</t>
    </r>
  </si>
  <si>
    <r>
      <rPr>
        <sz val="11"/>
        <rFont val="Calibri"/>
        <family val="2"/>
      </rPr>
      <t>ARJUN PALAI</t>
    </r>
  </si>
  <si>
    <r>
      <rPr>
        <sz val="11"/>
        <rFont val="Calibri"/>
        <family val="2"/>
      </rPr>
      <t>L&amp;T</t>
    </r>
  </si>
  <si>
    <r>
      <rPr>
        <sz val="11"/>
        <rFont val="Calibri"/>
        <family val="2"/>
      </rPr>
      <t>EKADASHI BARIK</t>
    </r>
  </si>
  <si>
    <r>
      <rPr>
        <sz val="11"/>
        <rFont val="Calibri"/>
        <family val="2"/>
      </rPr>
      <t>JHA JI NILANCHAL</t>
    </r>
  </si>
  <si>
    <r>
      <rPr>
        <sz val="11"/>
        <rFont val="Calibri"/>
        <family val="2"/>
      </rPr>
      <t>MUNDA BABU PATHMUNDA</t>
    </r>
  </si>
  <si>
    <r>
      <rPr>
        <sz val="11"/>
        <rFont val="Calibri"/>
        <family val="2"/>
      </rPr>
      <t>BALAJEE</t>
    </r>
  </si>
  <si>
    <r>
      <rPr>
        <sz val="11"/>
        <rFont val="Calibri"/>
        <family val="2"/>
      </rPr>
      <t>KBS</t>
    </r>
  </si>
  <si>
    <r>
      <rPr>
        <sz val="11"/>
        <rFont val="Calibri"/>
        <family val="2"/>
      </rPr>
      <t>BISWANATH DAS</t>
    </r>
  </si>
  <si>
    <r>
      <rPr>
        <sz val="11"/>
        <rFont val="Calibri"/>
        <family val="2"/>
      </rPr>
      <t>MASKOT ELECTRO</t>
    </r>
  </si>
  <si>
    <r>
      <rPr>
        <sz val="11"/>
        <rFont val="Calibri"/>
        <family val="2"/>
      </rPr>
      <t>JENA TODA</t>
    </r>
  </si>
  <si>
    <r>
      <rPr>
        <sz val="11"/>
        <rFont val="Calibri"/>
        <family val="2"/>
      </rPr>
      <t>CHAKRO NAIK</t>
    </r>
  </si>
  <si>
    <r>
      <rPr>
        <sz val="11"/>
        <rFont val="Calibri"/>
        <family val="2"/>
      </rPr>
      <t>BIJU BABU</t>
    </r>
  </si>
  <si>
    <r>
      <rPr>
        <sz val="11"/>
        <rFont val="Calibri"/>
        <family val="2"/>
      </rPr>
      <t>CHAKADHAR NAIK</t>
    </r>
  </si>
  <si>
    <r>
      <rPr>
        <sz val="11"/>
        <rFont val="Calibri"/>
        <family val="2"/>
      </rPr>
      <t>S.N. SINGH NILANCHAL</t>
    </r>
  </si>
  <si>
    <r>
      <rPr>
        <sz val="11"/>
        <rFont val="Calibri"/>
        <family val="2"/>
      </rPr>
      <t>BIJU PATRO</t>
    </r>
  </si>
  <si>
    <r>
      <rPr>
        <sz val="11"/>
        <rFont val="Calibri"/>
        <family val="2"/>
      </rPr>
      <t>SHREERAM TRADERS</t>
    </r>
  </si>
  <si>
    <r>
      <rPr>
        <sz val="11"/>
        <rFont val="Calibri"/>
        <family val="2"/>
      </rPr>
      <t>NARESH SINGH</t>
    </r>
  </si>
  <si>
    <r>
      <rPr>
        <sz val="11"/>
        <rFont val="Calibri"/>
        <family val="2"/>
      </rPr>
      <t>ONLINE</t>
    </r>
  </si>
  <si>
    <r>
      <rPr>
        <sz val="11"/>
        <rFont val="Calibri"/>
        <family val="2"/>
      </rPr>
      <t>CREDIT</t>
    </r>
  </si>
  <si>
    <r>
      <rPr>
        <sz val="11"/>
        <rFont val="Calibri"/>
        <family val="2"/>
      </rPr>
      <t>CASH</t>
    </r>
  </si>
  <si>
    <r>
      <rPr>
        <b/>
        <sz val="11"/>
        <rFont val="Calibri"/>
        <family val="2"/>
      </rPr>
      <t>PRODUCT</t>
    </r>
  </si>
  <si>
    <r>
      <rPr>
        <b/>
        <sz val="11"/>
        <rFont val="Calibri"/>
        <family val="2"/>
      </rPr>
      <t>TONAGE</t>
    </r>
  </si>
  <si>
    <r>
      <rPr>
        <b/>
        <sz val="11"/>
        <rFont val="Calibri"/>
        <family val="2"/>
      </rPr>
      <t>DUST</t>
    </r>
  </si>
  <si>
    <r>
      <rPr>
        <b/>
        <sz val="11"/>
        <rFont val="Calibri"/>
        <family val="2"/>
      </rPr>
      <t>BOLDER</t>
    </r>
  </si>
  <si>
    <r>
      <rPr>
        <b/>
        <sz val="11"/>
        <rFont val="Calibri"/>
        <family val="2"/>
      </rPr>
      <t>6MM</t>
    </r>
  </si>
  <si>
    <r>
      <rPr>
        <b/>
        <sz val="11"/>
        <rFont val="Calibri"/>
        <family val="2"/>
      </rPr>
      <t>10MM</t>
    </r>
  </si>
  <si>
    <r>
      <rPr>
        <b/>
        <sz val="11"/>
        <rFont val="Calibri"/>
        <family val="2"/>
      </rPr>
      <t>20MM</t>
    </r>
  </si>
  <si>
    <r>
      <rPr>
        <b/>
        <sz val="11"/>
        <rFont val="Calibri"/>
        <family val="2"/>
      </rPr>
      <t>40MM</t>
    </r>
  </si>
  <si>
    <r>
      <rPr>
        <b/>
        <sz val="11"/>
        <rFont val="Calibri"/>
        <family val="1"/>
      </rPr>
      <t>CASH EXPENSES (AUGUST)</t>
    </r>
  </si>
  <si>
    <r>
      <rPr>
        <b/>
        <sz val="11"/>
        <rFont val="Calibri"/>
        <family val="1"/>
      </rPr>
      <t>DATE</t>
    </r>
  </si>
  <si>
    <r>
      <rPr>
        <b/>
        <sz val="11"/>
        <rFont val="Calibri"/>
        <family val="1"/>
      </rPr>
      <t>PARTICULARS</t>
    </r>
  </si>
  <si>
    <r>
      <rPr>
        <b/>
        <sz val="11"/>
        <rFont val="Calibri"/>
        <family val="1"/>
      </rPr>
      <t>AMOUNT</t>
    </r>
  </si>
  <si>
    <r>
      <rPr>
        <b/>
        <sz val="11"/>
        <rFont val="Calibri"/>
        <family val="1"/>
      </rPr>
      <t>REMARKS</t>
    </r>
  </si>
  <si>
    <r>
      <rPr>
        <sz val="11"/>
        <rFont val="Calibri"/>
        <family val="1"/>
      </rPr>
      <t>House Exp</t>
    </r>
  </si>
  <si>
    <r>
      <rPr>
        <sz val="11"/>
        <rFont val="Calibri"/>
        <family val="1"/>
      </rPr>
      <t>Mintu Mistri</t>
    </r>
  </si>
  <si>
    <r>
      <rPr>
        <sz val="11"/>
        <rFont val="Calibri"/>
        <family val="1"/>
      </rPr>
      <t>House Work</t>
    </r>
  </si>
  <si>
    <r>
      <rPr>
        <sz val="11"/>
        <rFont val="Calibri"/>
        <family val="1"/>
      </rPr>
      <t>SP Ispat</t>
    </r>
  </si>
  <si>
    <r>
      <rPr>
        <sz val="11"/>
        <rFont val="Calibri"/>
        <family val="1"/>
      </rPr>
      <t>MTM Mess Exp</t>
    </r>
  </si>
  <si>
    <r>
      <rPr>
        <sz val="11"/>
        <rFont val="Calibri"/>
        <family val="1"/>
      </rPr>
      <t>Spare Parts</t>
    </r>
  </si>
  <si>
    <r>
      <rPr>
        <sz val="11"/>
        <rFont val="Calibri"/>
        <family val="1"/>
      </rPr>
      <t>Gear Box Exp</t>
    </r>
  </si>
  <si>
    <r>
      <rPr>
        <sz val="11"/>
        <rFont val="Calibri"/>
        <family val="1"/>
      </rPr>
      <t>LWB Staff</t>
    </r>
  </si>
  <si>
    <r>
      <rPr>
        <sz val="11"/>
        <rFont val="Calibri"/>
        <family val="1"/>
      </rPr>
      <t>Rajesh Sharma</t>
    </r>
  </si>
  <si>
    <r>
      <rPr>
        <sz val="11"/>
        <rFont val="Calibri"/>
        <family val="1"/>
      </rPr>
      <t>Manoj Sharma</t>
    </r>
  </si>
  <si>
    <r>
      <rPr>
        <sz val="11"/>
        <rFont val="Calibri"/>
        <family val="1"/>
      </rPr>
      <t>Fooding</t>
    </r>
  </si>
  <si>
    <r>
      <rPr>
        <sz val="11"/>
        <rFont val="Calibri"/>
        <family val="1"/>
      </rPr>
      <t>Tile Cutter Rod</t>
    </r>
  </si>
  <si>
    <r>
      <rPr>
        <sz val="11"/>
        <rFont val="Calibri"/>
        <family val="1"/>
      </rPr>
      <t>Satyajit Behwra Noamundi</t>
    </r>
  </si>
  <si>
    <r>
      <rPr>
        <sz val="11"/>
        <rFont val="Calibri"/>
        <family val="1"/>
      </rPr>
      <t>Breaker</t>
    </r>
  </si>
  <si>
    <r>
      <rPr>
        <sz val="11"/>
        <rFont val="Calibri"/>
        <family val="1"/>
      </rPr>
      <t>House Construction</t>
    </r>
  </si>
  <si>
    <r>
      <rPr>
        <sz val="11"/>
        <rFont val="Calibri"/>
        <family val="1"/>
      </rPr>
      <t>Labour Payment</t>
    </r>
  </si>
  <si>
    <r>
      <rPr>
        <sz val="11"/>
        <rFont val="Calibri"/>
        <family val="1"/>
      </rPr>
      <t>Anta Parida Mobile Recharge</t>
    </r>
  </si>
  <si>
    <r>
      <rPr>
        <sz val="11"/>
        <rFont val="Calibri"/>
        <family val="1"/>
      </rPr>
      <t>Ankit Babu</t>
    </r>
  </si>
  <si>
    <r>
      <rPr>
        <sz val="11"/>
        <rFont val="Calibri"/>
        <family val="1"/>
      </rPr>
      <t>Ganga Babu Petrol Bill</t>
    </r>
  </si>
  <si>
    <r>
      <rPr>
        <sz val="11"/>
        <rFont val="Calibri"/>
        <family val="1"/>
      </rPr>
      <t>Challan Payment</t>
    </r>
  </si>
  <si>
    <r>
      <rPr>
        <sz val="11"/>
        <rFont val="Calibri"/>
        <family val="1"/>
      </rPr>
      <t>MTM Driver Fooding</t>
    </r>
  </si>
  <si>
    <r>
      <rPr>
        <sz val="11"/>
        <rFont val="Calibri"/>
        <family val="1"/>
      </rPr>
      <t>Balaji Comission</t>
    </r>
  </si>
  <si>
    <r>
      <rPr>
        <sz val="11"/>
        <rFont val="Calibri"/>
        <family val="1"/>
      </rPr>
      <t>MTM Fan Exp</t>
    </r>
  </si>
  <si>
    <r>
      <rPr>
        <sz val="11"/>
        <rFont val="Calibri"/>
        <family val="1"/>
      </rPr>
      <t>Wire Nail</t>
    </r>
  </si>
  <si>
    <r>
      <rPr>
        <sz val="11"/>
        <rFont val="Calibri"/>
        <family val="1"/>
      </rPr>
      <t>Ajit Sharma Carpenter</t>
    </r>
  </si>
  <si>
    <r>
      <rPr>
        <sz val="11"/>
        <rFont val="Calibri"/>
        <family val="1"/>
      </rPr>
      <t>Brekaer Carbon</t>
    </r>
  </si>
  <si>
    <r>
      <rPr>
        <sz val="11"/>
        <rFont val="Calibri"/>
        <family val="1"/>
      </rPr>
      <t>Colour For Vehicle</t>
    </r>
  </si>
  <si>
    <r>
      <rPr>
        <sz val="11"/>
        <rFont val="Calibri"/>
        <family val="1"/>
      </rPr>
      <t>Rod Unloading Labour Charges</t>
    </r>
  </si>
  <si>
    <r>
      <rPr>
        <sz val="11"/>
        <rFont val="Calibri"/>
        <family val="1"/>
      </rPr>
      <t>Ganga Babu Material for Construction</t>
    </r>
  </si>
  <si>
    <r>
      <rPr>
        <sz val="11"/>
        <rFont val="Calibri"/>
        <family val="1"/>
      </rPr>
      <t>Vishwakrma Eng</t>
    </r>
  </si>
  <si>
    <r>
      <rPr>
        <b/>
        <sz val="11"/>
        <rFont val="Calibri"/>
        <family val="1"/>
      </rPr>
      <t>TOTAL</t>
    </r>
  </si>
  <si>
    <r>
      <rPr>
        <b/>
        <sz val="11"/>
        <rFont val="Calibri"/>
        <family val="1"/>
      </rPr>
      <t>BANK EXPENSES (AUGUST)</t>
    </r>
  </si>
  <si>
    <r>
      <rPr>
        <sz val="11"/>
        <rFont val="Calibri"/>
        <family val="1"/>
      </rPr>
      <t>Charges</t>
    </r>
  </si>
  <si>
    <r>
      <rPr>
        <sz val="11"/>
        <rFont val="Calibri"/>
        <family val="1"/>
      </rPr>
      <t>SALARY</t>
    </r>
  </si>
  <si>
    <r>
      <rPr>
        <sz val="11"/>
        <rFont val="Calibri"/>
        <family val="1"/>
      </rPr>
      <t>Natraj Enterprise</t>
    </r>
  </si>
  <si>
    <r>
      <rPr>
        <sz val="11"/>
        <rFont val="Calibri"/>
        <family val="1"/>
      </rPr>
      <t>Abhinash Jena</t>
    </r>
  </si>
  <si>
    <r>
      <rPr>
        <sz val="11"/>
        <rFont val="Calibri"/>
        <family val="1"/>
      </rPr>
      <t>Boulder Purchase</t>
    </r>
  </si>
  <si>
    <r>
      <rPr>
        <b/>
        <sz val="11"/>
        <rFont val="Calibri"/>
        <family val="1"/>
      </rPr>
      <t>P&amp;L - August</t>
    </r>
  </si>
  <si>
    <r>
      <rPr>
        <b/>
        <sz val="11"/>
        <rFont val="Calibri"/>
        <family val="1"/>
      </rPr>
      <t>Date</t>
    </r>
  </si>
  <si>
    <r>
      <rPr>
        <b/>
        <sz val="11"/>
        <rFont val="Calibri"/>
        <family val="1"/>
      </rPr>
      <t>Particulars</t>
    </r>
  </si>
  <si>
    <r>
      <rPr>
        <b/>
        <sz val="11"/>
        <rFont val="Calibri"/>
        <family val="1"/>
      </rPr>
      <t>Amount</t>
    </r>
  </si>
  <si>
    <r>
      <rPr>
        <b/>
        <sz val="11"/>
        <rFont val="Calibri"/>
        <family val="1"/>
      </rPr>
      <t>CASH EXP</t>
    </r>
  </si>
  <si>
    <r>
      <rPr>
        <b/>
        <sz val="11"/>
        <rFont val="Calibri"/>
        <family val="1"/>
      </rPr>
      <t>SALES</t>
    </r>
  </si>
  <si>
    <r>
      <rPr>
        <b/>
        <sz val="11"/>
        <rFont val="Calibri"/>
        <family val="1"/>
      </rPr>
      <t>ONLINE EXP.</t>
    </r>
  </si>
  <si>
    <r>
      <rPr>
        <b/>
        <sz val="11"/>
        <rFont val="Calibri"/>
        <family val="1"/>
      </rPr>
      <t>PROFIT</t>
    </r>
  </si>
  <si>
    <t>RECEIVING (OCTOBER)</t>
  </si>
  <si>
    <t>MIX</t>
  </si>
  <si>
    <t>P.K.BARIK</t>
  </si>
  <si>
    <t>INDUS</t>
  </si>
  <si>
    <t>JYOTI CONTRACTOR</t>
  </si>
  <si>
    <t>RUGUDI</t>
  </si>
  <si>
    <t>SAI SUDHA</t>
  </si>
  <si>
    <t>BALAJI CONSTRUCTION</t>
  </si>
  <si>
    <t>RAMAY MUNDA</t>
  </si>
  <si>
    <t>OD14X7131</t>
  </si>
  <si>
    <t>OD14E7280</t>
  </si>
  <si>
    <t>SP ISPAT BENEFICATION</t>
  </si>
  <si>
    <t>UMESH NAIK</t>
  </si>
  <si>
    <t>SANTOSH YADAV</t>
  </si>
  <si>
    <t>OD141E7830</t>
  </si>
  <si>
    <t xml:space="preserve">CHAKRO </t>
  </si>
  <si>
    <t>OD09D8950</t>
  </si>
  <si>
    <t>BISHNU MUNDA</t>
  </si>
  <si>
    <t>JAJATI KESHARI</t>
  </si>
  <si>
    <t>DEUM CONSTRUCTION</t>
  </si>
  <si>
    <t>Sales (NOVEMBER)</t>
  </si>
  <si>
    <t>DASARATT MUNDA</t>
  </si>
  <si>
    <t>OD09X5619</t>
  </si>
  <si>
    <t>SIPUN MUNDA</t>
  </si>
  <si>
    <t>S.P ISPAT P LTD.</t>
  </si>
  <si>
    <t>RECEIVING (NOVEMBER)</t>
  </si>
  <si>
    <t>CHORMALDA</t>
  </si>
  <si>
    <t>DILIP MUNDA</t>
  </si>
  <si>
    <t>RAMESH MAHAKUD</t>
  </si>
  <si>
    <t>AFRIDI</t>
  </si>
  <si>
    <t>20 &amp; 10</t>
  </si>
  <si>
    <t xml:space="preserve">PARMA NAIK </t>
  </si>
  <si>
    <t>BYPASS KOIRA</t>
  </si>
  <si>
    <t>OR16D5782</t>
  </si>
  <si>
    <t>PATU BARIK</t>
  </si>
  <si>
    <t>MILTU PALAI</t>
  </si>
  <si>
    <t>GANESH DAS</t>
  </si>
  <si>
    <t>LAXMIDHAR BARIK</t>
  </si>
  <si>
    <t>RAJA BABU</t>
  </si>
  <si>
    <t>S.N.SINGH</t>
  </si>
  <si>
    <t>VINEET BABU</t>
  </si>
  <si>
    <t>CHAKARA ROAD</t>
  </si>
  <si>
    <t>OD09E9271</t>
  </si>
  <si>
    <t>KAMANDA STEEL PLANT</t>
  </si>
  <si>
    <t>BUNA BABU</t>
  </si>
  <si>
    <t>ASHOK KUMAR MITTAL</t>
  </si>
  <si>
    <t>LELIN MAHAKUD</t>
  </si>
  <si>
    <t>CASH EXPENSES (OCTOBBER)</t>
  </si>
  <si>
    <t>01.10.2025</t>
  </si>
  <si>
    <t>03.10.2025</t>
  </si>
  <si>
    <t>KOLKATA EXP</t>
  </si>
  <si>
    <t>04.10.2025</t>
  </si>
  <si>
    <t>H M LODER SPAIR</t>
  </si>
  <si>
    <t>MTM MESS (ANANTO)</t>
  </si>
  <si>
    <t>05.10.2025</t>
  </si>
  <si>
    <t>ANKIT BABU ACCOUNT</t>
  </si>
  <si>
    <t>MOBILE REC.</t>
  </si>
  <si>
    <t>ANANTO</t>
  </si>
  <si>
    <t>08.10.2025</t>
  </si>
  <si>
    <t>KOIRA AUTO ELECTION</t>
  </si>
  <si>
    <t>REJEWAN</t>
  </si>
  <si>
    <t>OD14E8349 PARTS</t>
  </si>
  <si>
    <t>S N MOTERS</t>
  </si>
  <si>
    <t>09.10.2025</t>
  </si>
  <si>
    <t>10.10.2025</t>
  </si>
  <si>
    <t>THAR EXP</t>
  </si>
  <si>
    <t>11.10.2025</t>
  </si>
  <si>
    <t>12.10.2025</t>
  </si>
  <si>
    <t>FISTAG REC. HYVA</t>
  </si>
  <si>
    <t>13.10.2025</t>
  </si>
  <si>
    <t>14.10.2025</t>
  </si>
  <si>
    <t>HYDRO POWER</t>
  </si>
  <si>
    <t>POPLIN PC 130 REP.</t>
  </si>
  <si>
    <t>15.10.2025</t>
  </si>
  <si>
    <t>HRUSIKESH PUHAN</t>
  </si>
  <si>
    <t>SPAIR PARTS</t>
  </si>
  <si>
    <t>ANIKET JI</t>
  </si>
  <si>
    <t>18.10.2025</t>
  </si>
  <si>
    <t>HOUSE WORK CONTRATOR</t>
  </si>
  <si>
    <t>21.10.2025</t>
  </si>
  <si>
    <t>NUT BOLT</t>
  </si>
  <si>
    <t>23.10.2025</t>
  </si>
  <si>
    <t>VEHICLE REP. 8349 &amp;  7440</t>
  </si>
  <si>
    <t>24.10.2025</t>
  </si>
  <si>
    <t>AMAN AUTO SPAIR</t>
  </si>
  <si>
    <t>GANGA BILL</t>
  </si>
  <si>
    <t>25.10.2025</t>
  </si>
  <si>
    <t>SALARY ADV.</t>
  </si>
  <si>
    <t>26.10.2025</t>
  </si>
  <si>
    <t>PINTU MISTRI</t>
  </si>
  <si>
    <t>28.10.2025</t>
  </si>
  <si>
    <t>29.10.2025</t>
  </si>
  <si>
    <t>30.10.2025</t>
  </si>
  <si>
    <t>WI-FI REC.</t>
  </si>
  <si>
    <t>31.10.2025</t>
  </si>
  <si>
    <t>BLACK TAP MTM SIDE</t>
  </si>
  <si>
    <t xml:space="preserve">LALIT RKL </t>
  </si>
  <si>
    <t>BANK EXPENSES (OCTOBER)</t>
  </si>
  <si>
    <t>IMPS-527514185142-SATISH KUMAR SAHOO-HDFC-XXXXXXXXXX9131-TRF</t>
  </si>
  <si>
    <t>.IMPS P2P 526113123642#18/09/2025 180925-MIR2627522587062</t>
  </si>
  <si>
    <t>IMPS-528512114321-ZINKA LOGISTICS SOLUTIONS PRIVATE LTD-IDFB-XXXXXX9616-TRF</t>
  </si>
  <si>
    <t>NEFT DR-SBIN0005756-ANATA KUMAR PARIDA-NETBANK, MUM-HDFCN52025101848130905-SALARY PAYMENT</t>
  </si>
  <si>
    <t>NEFT DR-SBIN0005756-RAMESH CHANDRA PRADHAN-NETBANK, MUM-HDFCN52025101848142408-SALARY PAYMENT</t>
  </si>
  <si>
    <t>NEFT DR-SBIN0005756-RAMJI SINGH-NETBANK, MUM-HDFCN52025101848152689-SALARY PAYMENT</t>
  </si>
  <si>
    <t>NEFT DR-SBIN0005756-AMARJIT JHA-NETBANK, MUM-HDFCN52025101848159723-SALARY PAYMENT</t>
  </si>
  <si>
    <t>NEFT DR-SBIN0003610-RENGA MUNDA-NETBANK, MUM-HDFCN52025101848163035-SALARY PAYMENT</t>
  </si>
  <si>
    <t>NEFT DR-BARB0KOIRAX-DALU NAIK-NETBANK, MUM-HDFCN52025101848171946-SALARY PAYMENT</t>
  </si>
  <si>
    <t>NEFT DR-SBIN0003610-YES MUNDA-NETBANK, MUM-HDFCN52025101848172941-SALARY PAYMENT</t>
  </si>
  <si>
    <t>NEFT DR-BARB0KOIRAX-SUSHIL MUNDA-NETBANK, MUM-HDFCN52025101848181799-SALARY PAYMENT</t>
  </si>
  <si>
    <t>NEFT DR-BARB0KOIRAX-BASHU NAIK-NETBANK, MUM-HDFCN52025101848184130-SALARY PAYMENT</t>
  </si>
  <si>
    <t>NEFT DR-BARB0KOIRAX-MOHIT DAS-NETBANK, MUM-HDFCN52025101848189679-SALARY PAYMENT</t>
  </si>
  <si>
    <t>NEFT DR-BARB0KOIRAX-PRAMOD TAPNO-NETBANK, MUM-HDFCN52025101848188541-SALARY PAYMENT</t>
  </si>
  <si>
    <t>NEFT DR-BARB0KOIRAX-SRIKRUSHNA MAHAKUD-NETBANK, MUM-HDFCN52025101848218177-SALARY PAYMENT</t>
  </si>
  <si>
    <t>NEFT DR-SBIN0005756-GEETA DEHURY-NETBANK, MUM-HDFCN52025101848221865-SALARY PAYMENT</t>
  </si>
  <si>
    <t>NEFT DR-SBIN0005756-SABITA DAS-NETBANK, MUM-HDFCN52025101848220004-SALARY PAYMENT</t>
  </si>
  <si>
    <t>NEFT DR-SBIN0005756-JYOSHNA DEHURY-NETBANK, MUM-HDFCN52025101848227301-SALARY PAYMENT</t>
  </si>
  <si>
    <t>NEFT DR-BARB0KOIRAX-PUJA DEHURY-NETBANK, MUM-HDFCN52025101848247202-SALARY PAYMENT</t>
  </si>
  <si>
    <t>NEFT DR-BARB0KOIRAX-ALEKH DEHURY-NETBANK, MUM-HDFCN52025101848283152-SALARY PAYMENT</t>
  </si>
  <si>
    <t>NEFT DR-BARB0KOIRAX-SANIARI MUNDA-NETBANK, MUM-HDFCN52025101848429704-SALARY PAYMENT</t>
  </si>
  <si>
    <t>NEFT DR-SBIN0005756-BANA MUNDA-NETBANK, MUM-HDFCN52025101848430063-SALARY PAYMENT</t>
  </si>
  <si>
    <t>03622320002127-TPT-TRF-SWASTIKA ORES AND MINERALS PVT LTD</t>
  </si>
  <si>
    <t>02431000009131-TPT-TRF-SATISH KUMAR SAHOO</t>
  </si>
  <si>
    <t>GST/BANK REFERENCE NO: R2529467692687/CIN NO: HDFC25102100072030</t>
  </si>
  <si>
    <t>BHDFLWP10C3NR1/BILLDKODISHADISCOM</t>
  </si>
  <si>
    <t>IMPS-530011157327-SONI KUMAR SAHU-SBIN-XXXXXXX2896-TRF</t>
  </si>
  <si>
    <t>.IMPS P2P 527610157066#03/10/2025 031025-MIR2629499513319</t>
  </si>
  <si>
    <t>.IMPS P2P 528512114321#12/10/2025 121025-MIR2629908251228</t>
  </si>
  <si>
    <t>.IMPS P2P 528610176469#13/10/2025 131025-MIR2630109665283</t>
  </si>
  <si>
    <t>GST/BANK REFERENCE NO: R2532568601814/CIN NO: HDFC25112100082577</t>
  </si>
  <si>
    <t>BHDFKKJ137M2KF/BILLDKODISHADISCOM</t>
  </si>
  <si>
    <t>P&amp;L - OCTOBER</t>
  </si>
  <si>
    <t>CASH EXPENSES (NOVEMBER)</t>
  </si>
  <si>
    <t>01.11.2025</t>
  </si>
  <si>
    <t>JAIDURGA ELECTRICAL</t>
  </si>
  <si>
    <t>CASH BOOK</t>
  </si>
  <si>
    <t>02.11.2025</t>
  </si>
  <si>
    <t>03.11.2025</t>
  </si>
  <si>
    <t>MTM VEHICEL FAS TAG</t>
  </si>
  <si>
    <t>LATHIKATHA TOUR FOODING</t>
  </si>
  <si>
    <t>DRINKING WATER</t>
  </si>
  <si>
    <t>04.11.2025</t>
  </si>
  <si>
    <t>VISWAKARMA ENG. WORK</t>
  </si>
  <si>
    <t>FAS TAG HYVA</t>
  </si>
  <si>
    <t>05.11.2025</t>
  </si>
  <si>
    <t>SAND BILL PAID</t>
  </si>
  <si>
    <t>07.11.2025</t>
  </si>
  <si>
    <t>08.11.2025</t>
  </si>
  <si>
    <t>FOODING BOLDER LIFTING</t>
  </si>
  <si>
    <t>LATHIKATHA EXP</t>
  </si>
  <si>
    <t>KOIRA AUTO REJEWAN</t>
  </si>
  <si>
    <t>RKL TO KOIRA HAIR CHARGES</t>
  </si>
  <si>
    <t>09.11.2025</t>
  </si>
  <si>
    <t>BREAKER REP.</t>
  </si>
  <si>
    <t>13.11.2025</t>
  </si>
  <si>
    <t>15.11.2025</t>
  </si>
  <si>
    <t>VEHICLE REP.</t>
  </si>
  <si>
    <t>16.11.2025</t>
  </si>
  <si>
    <t>17.11.2025</t>
  </si>
  <si>
    <t>MAHABIR HYDROLICS</t>
  </si>
  <si>
    <t>EX-130</t>
  </si>
  <si>
    <t>19.11.2025</t>
  </si>
  <si>
    <t>20.11.2025</t>
  </si>
  <si>
    <t>FAS TAG &amp; FOODING</t>
  </si>
  <si>
    <t>21.11.2025</t>
  </si>
  <si>
    <t>SARGIGARGH DONECTION</t>
  </si>
  <si>
    <t>22.11.2025</t>
  </si>
  <si>
    <t>CAMICAL BILL PAID</t>
  </si>
  <si>
    <t>GANGA</t>
  </si>
  <si>
    <t>23.11.2025</t>
  </si>
  <si>
    <t>OXYGEN CLENDER</t>
  </si>
  <si>
    <t>24.11.2025</t>
  </si>
  <si>
    <t>TERMINAL SOLDING</t>
  </si>
  <si>
    <t>HOUSE CANSTRUCTION</t>
  </si>
  <si>
    <t>25.11.2025</t>
  </si>
  <si>
    <t>GANGA JI BILL PAID</t>
  </si>
  <si>
    <t>26.11.2025</t>
  </si>
  <si>
    <t>WASHING PLANT ACCOUNT</t>
  </si>
  <si>
    <t>27.11.2025</t>
  </si>
  <si>
    <t>RAM JI</t>
  </si>
  <si>
    <t>ASHER DANG FOODING</t>
  </si>
  <si>
    <t>28.11.2025</t>
  </si>
  <si>
    <t>PRADHAN JI ADV</t>
  </si>
  <si>
    <t>29.11.2025</t>
  </si>
  <si>
    <t>OTHER EXP</t>
  </si>
  <si>
    <t>MD IMRAN</t>
  </si>
  <si>
    <t>30.11.2025</t>
  </si>
  <si>
    <t>P&amp;L - NOVEMBER</t>
  </si>
  <si>
    <t>BANK EXPENSES (NOVEMBER)</t>
  </si>
  <si>
    <t>.IMPS P2P 530011157327#27/10/2025 271025-MIR2630926159508</t>
  </si>
  <si>
    <t>.IMPS P2P 528610176469#13/10/2025 131025-MIR2631133526510</t>
  </si>
  <si>
    <t>.IMPS P2P 531018172787#06/11/2025 061125-MIR2632371591584</t>
  </si>
  <si>
    <t>.IMPS P2P 531016156784#06/11/2025 061125-MIR2632371591594</t>
  </si>
  <si>
    <t xml:space="preserve">BALAJEE </t>
  </si>
  <si>
    <t>R.R.JENA</t>
  </si>
  <si>
    <t>SAHID AFRIDI</t>
  </si>
  <si>
    <t>NARESH SINGH (PANPOSIA)</t>
  </si>
  <si>
    <t>S.P.ISPAT BENEFICATION</t>
  </si>
  <si>
    <t>RAKAMA</t>
  </si>
  <si>
    <t>P.O. MALDA</t>
  </si>
  <si>
    <t>JH06T7697</t>
  </si>
  <si>
    <t>LAXMIDAR BARIK</t>
  </si>
  <si>
    <t>SUMARA BARIK</t>
  </si>
  <si>
    <t>AJIT BARIK</t>
  </si>
  <si>
    <t>GORO HARI</t>
  </si>
  <si>
    <t>SUKAN MUNDA</t>
  </si>
  <si>
    <t>RITIK HASDA</t>
  </si>
  <si>
    <t>PAYABLES</t>
  </si>
  <si>
    <t>RECEIVABLES</t>
  </si>
  <si>
    <t>AANISH MOTORS</t>
  </si>
  <si>
    <t>AMNS L&amp;T</t>
  </si>
  <si>
    <t>Balaji Infra Construction</t>
  </si>
  <si>
    <t>BINIT BABU KAMANDA</t>
  </si>
  <si>
    <t>Binod Sahu</t>
  </si>
  <si>
    <t>BUNA UNCLE</t>
  </si>
  <si>
    <t>CRPF CAMP</t>
  </si>
  <si>
    <t>Deo Narayan Jaiswal (Debu Babu)</t>
  </si>
  <si>
    <t>Dream Construction</t>
  </si>
  <si>
    <t>JAGJATI KHESHARI GIRI</t>
  </si>
  <si>
    <t>JALO BABU</t>
  </si>
  <si>
    <t>JKS SARGIGARH</t>
  </si>
  <si>
    <t>KMM</t>
  </si>
  <si>
    <t>RAJAT JENA</t>
  </si>
  <si>
    <t>SHAHID AFRIDI</t>
  </si>
  <si>
    <t>SHREE ROSE VENTURES</t>
  </si>
  <si>
    <t>SP ISPAT</t>
  </si>
  <si>
    <t>SP MINERALS</t>
  </si>
  <si>
    <t>SWASTIK CONSTRUCTION</t>
  </si>
  <si>
    <t>TRILOCHAN SAHOO</t>
  </si>
  <si>
    <t>S.K.SAHOO</t>
  </si>
  <si>
    <t>OD09D8951</t>
  </si>
  <si>
    <t>OD028B8882</t>
  </si>
  <si>
    <t>OD14AJ2074</t>
  </si>
  <si>
    <t>OD14AE9500</t>
  </si>
  <si>
    <t>OD09Z5132</t>
  </si>
  <si>
    <t>HARHAR BARIK</t>
  </si>
  <si>
    <t>LINGARAJ</t>
  </si>
  <si>
    <t>RECEIVING (DECEMBER)</t>
  </si>
  <si>
    <t>OR16E2107</t>
  </si>
  <si>
    <t>SAMBHU MUNDA</t>
  </si>
  <si>
    <t>OD16E2107</t>
  </si>
  <si>
    <t>RAJA KOIRA</t>
  </si>
  <si>
    <t>BIJAY DEHURY</t>
  </si>
  <si>
    <t>OD14Y2105</t>
  </si>
  <si>
    <t>RAHUL BABU</t>
  </si>
  <si>
    <t>PRAKASH INSDUSTRIES</t>
  </si>
  <si>
    <t>OD14Q6691</t>
  </si>
  <si>
    <t>SUBASH BABU</t>
  </si>
  <si>
    <t>Sales (DECEMBER)</t>
  </si>
  <si>
    <t>CASH EXPENSES (DECEMBER)</t>
  </si>
  <si>
    <t>01.12.2025</t>
  </si>
  <si>
    <t>MACHINE REPARING</t>
  </si>
  <si>
    <t>TRIPAL</t>
  </si>
  <si>
    <t>02.01.2025</t>
  </si>
  <si>
    <t>DANG FOODING</t>
  </si>
  <si>
    <t>03.12.2025</t>
  </si>
  <si>
    <t>WI-FI RECHARGE</t>
  </si>
  <si>
    <t>04.12.2025</t>
  </si>
  <si>
    <t>CASH PAID FLS</t>
  </si>
  <si>
    <t>06.12.2025</t>
  </si>
  <si>
    <t>READY BABU BALAJI</t>
  </si>
  <si>
    <t>KAMANDO LOADING</t>
  </si>
  <si>
    <t xml:space="preserve">ANANTA </t>
  </si>
  <si>
    <t>BABA AUTO ELECTRICAL</t>
  </si>
  <si>
    <t>POLLUTION CERTIFICATE</t>
  </si>
  <si>
    <t>07.12.2025</t>
  </si>
  <si>
    <t>CLUTCH PLAT REP</t>
  </si>
  <si>
    <t>GANGA BABU</t>
  </si>
  <si>
    <t>BREAKER PARTS</t>
  </si>
  <si>
    <t>MACHINE PARTS</t>
  </si>
  <si>
    <t>08.12.2025</t>
  </si>
  <si>
    <t>09.12.2025</t>
  </si>
  <si>
    <t>BABU CONTRACTOR</t>
  </si>
  <si>
    <t>LWB SIDE</t>
  </si>
  <si>
    <t>10.12.2025</t>
  </si>
  <si>
    <t>DONATION</t>
  </si>
  <si>
    <t>SARGIGARH DEVI PUJA</t>
  </si>
  <si>
    <t>11.12.2025</t>
  </si>
  <si>
    <t>A/C</t>
  </si>
  <si>
    <t>WALL CUTTING BLADE</t>
  </si>
  <si>
    <t>12.12.2025</t>
  </si>
  <si>
    <t>13.12.2025</t>
  </si>
  <si>
    <t>14.12.2025</t>
  </si>
  <si>
    <t>OLD THAR REPAIR</t>
  </si>
  <si>
    <t>15.12.2025</t>
  </si>
  <si>
    <t>16.12.2025</t>
  </si>
  <si>
    <t>FOODING</t>
  </si>
  <si>
    <t>17.12.2025</t>
  </si>
  <si>
    <t xml:space="preserve">FAS TAG </t>
  </si>
  <si>
    <t>DANG</t>
  </si>
  <si>
    <t>18.12.2025</t>
  </si>
  <si>
    <t>S P FUEL A/C</t>
  </si>
  <si>
    <t>19.12.2025</t>
  </si>
  <si>
    <t>BOLDOGER FAS TAG</t>
  </si>
  <si>
    <t>20.12.2025</t>
  </si>
  <si>
    <t>OD09C0388 PARTS</t>
  </si>
  <si>
    <t>0388 MISTRI BILL</t>
  </si>
  <si>
    <t>GANGA BABU BILL</t>
  </si>
  <si>
    <t>22.12.2025</t>
  </si>
  <si>
    <t>CASH PAID BSPL</t>
  </si>
  <si>
    <t>DRINKING WATER BILL</t>
  </si>
  <si>
    <t>FEVICAL</t>
  </si>
  <si>
    <t>23.12.2025</t>
  </si>
  <si>
    <t>STAFF LWB</t>
  </si>
  <si>
    <t>HYWA PARTS</t>
  </si>
  <si>
    <t>9097 VEHICLE</t>
  </si>
  <si>
    <t>24.12.2025</t>
  </si>
  <si>
    <t>DANG ADV</t>
  </si>
  <si>
    <t>28.12.2025</t>
  </si>
  <si>
    <t>30.12.2025</t>
  </si>
  <si>
    <t>JAGANNATH SANITARY</t>
  </si>
  <si>
    <t>SURENDRA MOHAPATRA</t>
  </si>
  <si>
    <t>BABUL SALARY</t>
  </si>
  <si>
    <t>POCLEN MTM</t>
  </si>
  <si>
    <t>BSPL DG SELF REP</t>
  </si>
  <si>
    <t>ANIKET BABU</t>
  </si>
  <si>
    <t>ANKIT BABU PHONE EXPENSES</t>
  </si>
  <si>
    <t>05.12.2025</t>
  </si>
  <si>
    <t>PLUMBER ADV</t>
  </si>
  <si>
    <t>BANK EXPENSES (DECEMBER)</t>
  </si>
  <si>
    <t>SALARY (NOVEMBER &amp; DECEMBER)</t>
  </si>
  <si>
    <t>BANK CHARGES</t>
  </si>
  <si>
    <t>SP WORKSHOP SALARY</t>
  </si>
  <si>
    <t>P&amp;L - DECEMBER</t>
  </si>
  <si>
    <t>PROCUREMENT PAYMENT</t>
  </si>
  <si>
    <t>MTM (DECEMBER)</t>
  </si>
  <si>
    <t>LALIT BHAIYA</t>
  </si>
  <si>
    <t>BUNNA UNCLE</t>
  </si>
  <si>
    <t>Sales (JANUARY)</t>
  </si>
  <si>
    <t>JAJATI KESHARI GIRI</t>
  </si>
  <si>
    <t>OD14V2105</t>
  </si>
  <si>
    <t>ALI KHAN SANINDPUR</t>
  </si>
  <si>
    <t>ALI KHAN NARAYANPOSHI</t>
  </si>
  <si>
    <t>PRAKASH INDUSTRIES</t>
  </si>
  <si>
    <t>SMILE CONSTRUCTION</t>
  </si>
  <si>
    <t>S.P. ISPAT BENEFICATION</t>
  </si>
  <si>
    <t>SUMANTA MISHRA ORAGHAT</t>
  </si>
  <si>
    <t>OR14N8818</t>
  </si>
  <si>
    <t>SUBHASH BABU KOIRA</t>
  </si>
  <si>
    <t>OD28B8887</t>
  </si>
  <si>
    <t>PRABHU PATRO</t>
  </si>
  <si>
    <t>DURA MUNDA</t>
  </si>
  <si>
    <t>TAPAN BARIK</t>
  </si>
  <si>
    <t>OMKAR SOLUTION</t>
  </si>
  <si>
    <t>FOKO BHAI MINING OFFICE</t>
  </si>
  <si>
    <t>OD14U2124</t>
  </si>
  <si>
    <t>KAPIL PALAI</t>
  </si>
  <si>
    <t>RAJIB LOCHAN</t>
  </si>
  <si>
    <t>RECEIVING (JANUARY)</t>
  </si>
  <si>
    <t>OD14AL3133</t>
  </si>
  <si>
    <t>PRAKESH SANTAR</t>
  </si>
  <si>
    <t>OD14AK0110</t>
  </si>
  <si>
    <t>OD14AD0110</t>
  </si>
  <si>
    <t>OD14AE0110</t>
  </si>
  <si>
    <t>OD14AD0410</t>
  </si>
  <si>
    <t>OD14AD0210</t>
  </si>
  <si>
    <t>OD14AJ9910</t>
  </si>
  <si>
    <t>OD14AD0310</t>
  </si>
  <si>
    <t>OD14AE0210</t>
  </si>
  <si>
    <t>CASH EXPENSES (JANUARY)</t>
  </si>
  <si>
    <t>BANK EXPENSES (JANUARY)</t>
  </si>
  <si>
    <t>02.01.2026</t>
  </si>
  <si>
    <t>NIRANJAN</t>
  </si>
  <si>
    <t>03.01.2026</t>
  </si>
  <si>
    <t>KOIRA AUTO ELECTRICAL</t>
  </si>
  <si>
    <t>06.01.2026</t>
  </si>
  <si>
    <t>MTM NUT BOLT</t>
  </si>
  <si>
    <t>FOODING EXP</t>
  </si>
  <si>
    <t>DANG JI</t>
  </si>
  <si>
    <t>07.01.2026</t>
  </si>
  <si>
    <t>POLLUTION</t>
  </si>
  <si>
    <t>DISEL PAYMENT</t>
  </si>
  <si>
    <t>PRINTER INSTAL</t>
  </si>
  <si>
    <t>08.01.2026</t>
  </si>
  <si>
    <t>S P FUEL</t>
  </si>
  <si>
    <t>09.01.2026</t>
  </si>
  <si>
    <t>10.01.2026</t>
  </si>
  <si>
    <t>BREAKER REP</t>
  </si>
  <si>
    <t>HOUSE EXP</t>
  </si>
  <si>
    <t>DISEL / PETROL</t>
  </si>
  <si>
    <t>BABLU SALARY</t>
  </si>
  <si>
    <t>SATISH SIR</t>
  </si>
  <si>
    <t>13.01.2026</t>
  </si>
  <si>
    <t>DISEL</t>
  </si>
  <si>
    <t>LUBE</t>
  </si>
  <si>
    <t>ANISH MOTER</t>
  </si>
  <si>
    <t>15.01.2026</t>
  </si>
  <si>
    <t>FOOD HOUSE</t>
  </si>
  <si>
    <t xml:space="preserve">MINTU </t>
  </si>
  <si>
    <t>16.01.2026</t>
  </si>
  <si>
    <t>HYVA INSURANCE</t>
  </si>
  <si>
    <t>GOBIND EXP</t>
  </si>
  <si>
    <t>17.01.2026</t>
  </si>
  <si>
    <t>MTM MESS FOODING</t>
  </si>
  <si>
    <t>MANAS FOOD</t>
  </si>
  <si>
    <t>18.01.2026</t>
  </si>
  <si>
    <t>K K ENTERPRISES</t>
  </si>
  <si>
    <t>PETROL</t>
  </si>
  <si>
    <t>FOODING TRIP</t>
  </si>
  <si>
    <t>19.01.2026</t>
  </si>
  <si>
    <t>20.01.2026</t>
  </si>
  <si>
    <t>SARGIGARH DANG</t>
  </si>
  <si>
    <t>WASHING PLANT</t>
  </si>
  <si>
    <t>RIZWAN</t>
  </si>
  <si>
    <t>21.01.2026</t>
  </si>
  <si>
    <t>PRINT MISTRI</t>
  </si>
  <si>
    <t>BSNL RECHARGE</t>
  </si>
  <si>
    <t>FAS TAG</t>
  </si>
  <si>
    <t>22.01.2026</t>
  </si>
  <si>
    <t>HYVA EXP</t>
  </si>
  <si>
    <t>RAILWIRW RECHARGE</t>
  </si>
  <si>
    <t>23.01.2026</t>
  </si>
  <si>
    <t>SANJAY ELECTRICAL</t>
  </si>
  <si>
    <t>BALAJI COMMISION</t>
  </si>
  <si>
    <t>.IMPS P2P 536113155540#27/12/2025 271225-MIR2600590600247</t>
  </si>
  <si>
    <t>NEFT DR-SBIN0005756-ANATA KUMAR PARIDA-NETBANK, MUM-HDFCH00739589953-NBXPK0YZFHLEKHIN</t>
  </si>
  <si>
    <t>NEFT DR-SBIN0005756-RAMJI SINGH-NETBANK, MUM-HDFCH00739590137-SALARY PAYMENT</t>
  </si>
  <si>
    <t>NEFT DR-SBIN0005756-AMARJIT JHA-NETBANK, MUM-HDFCH00739597368-SALARY PAYMENT</t>
  </si>
  <si>
    <t>NEFT DR-SBIN0003610-RENGA MUNDA-NETBANK, MUM-HDFCH00739598231-SALARY PAYMENT</t>
  </si>
  <si>
    <t>NEFT DR-BARB0KOIRAX-DALU NAIK-NETBANK, MUM-HDFCH00739597802-SALARY PAYMENT</t>
  </si>
  <si>
    <t>NEFT DR-SBIN0003610-YES MUNDA-NETBANK, MUM-HDFCH00739594898-SALARY PAYMENT</t>
  </si>
  <si>
    <t>NEFT DR-BARB0KOIRAX-SUSHIL MUNDA-NETBANK, MUM-HDFCH00739600420-SALARY PAYMENT</t>
  </si>
  <si>
    <t>NEFT DR-BARB0KOIRAX-BASHU NAIK-NETBANK, MUM-HDFCH00739603180-SALARY PAYMENT</t>
  </si>
  <si>
    <t>NEFT DR-BARB0KOIRAX-MOHIT DAS-NETBANK, MUM-HDFCH00739600764-SALARY PAYMENT</t>
  </si>
  <si>
    <t>NEFT DR-BARB0KOIRAX-PRAMOD TAPNO-NETBANK, MUM-HDFCH00739599427-SALARY PAYMENT</t>
  </si>
  <si>
    <t>NEFT DR-BARB0KOIRAX-SRIKRUSHNA MAHAKUD-NETBANK, MUM-HDFCH00739602628-SALARY PAYMENT</t>
  </si>
  <si>
    <t>NEFT DR-SBIN0005756-GEETA DEHURY-NETBANK, MUM-HDFCH00739603765-SALARY PAYMENT</t>
  </si>
  <si>
    <t>NEFT DR-SBIN0005756-SABITA DAS-NETBANK, MUM-HDFCH00739604555-SALARY PAYMENT</t>
  </si>
  <si>
    <t>NEFT DR-SBIN0005756-JYOSHNA DEHURY-NETBANK, MUM-HDFCH00739604699-SALARY PAYMENT</t>
  </si>
  <si>
    <t>NEFT DR-BARB0KOIRAX-PUJA DEHURY-NETBANK, MUM-HDFCH00739599938-SALARY PAYMENT</t>
  </si>
  <si>
    <t>NEFT DR-BARB0KOIRAX-SANIARI MUNDA-NETBANK, MUM-HDFCH00739604003-SALARY PAYMENT</t>
  </si>
  <si>
    <t>NEFT DR-SBIN0005756-BANA MUNDA-NETBANK, MUM-HDFCH00739605100-SALARY PAYMENT</t>
  </si>
  <si>
    <t>NEFT DR-BARB0KOIRAX-ALEKH DEHURY-NETBANK, MUM-HDFCH00739609207-SALARY PAYMENT</t>
  </si>
  <si>
    <t>NEFT DR-SBIN0012075-RUSHI NAIK-NETBANK, MUM-HDFCH00739606769-SALARY PAYMENT</t>
  </si>
  <si>
    <t>NEFT DR-SBIN0008878-CHIRLUM MUNDA-NETBANK, MUM-HDFCH00739606006-SALARY PAYMENT</t>
  </si>
  <si>
    <t>IMPS-601320189074-S P ISPAT PRIVATE LIMITED-ICIC-XXXXXXXX1961-TRF</t>
  </si>
  <si>
    <t>NEFT DR-SBIN0005756-RAKESH NAG-NETBANK, MUM-HDFCH00739745968-SALARY PAYMENT</t>
  </si>
  <si>
    <t>GST/BANK REFERENCE NO: R2602170122752/CIN NO: HDFC26012100108220</t>
  </si>
  <si>
    <t>NEFT DR-SBIN0004579-PUROHIT CONVEYOR BELTING PRIVATE LIMITED-NETBANK, MUM-HDFCH00754804717-NBDU8I7SDL8PQSAH</t>
  </si>
  <si>
    <t>IMPS-602313142421-S P ISPAT PRIVATE LIMITED-ICIC-XXXXXXXX1961-</t>
  </si>
  <si>
    <t>CHDFD3M19CNBEI/BILLDKODISHADISCOM</t>
  </si>
  <si>
    <t>RTGS DR-ICIC0000195-SUMITRAPETROLEUM ICICI-NETBANK, MUM-HDFCR52026013063618204-TRF</t>
  </si>
  <si>
    <t>DIESEL PAYMENT</t>
  </si>
  <si>
    <t>P&amp;L - JANUARY</t>
  </si>
  <si>
    <t>Sales (FEBRUARY)</t>
  </si>
  <si>
    <t>OD14E7438</t>
  </si>
  <si>
    <t>SAMBUNATH MUNDA</t>
  </si>
  <si>
    <t>SURENDRA BARIK</t>
  </si>
  <si>
    <t>SAHU BABU</t>
  </si>
  <si>
    <t>NARESH SINGH SARGIGARH</t>
  </si>
  <si>
    <t>OD28B8882</t>
  </si>
  <si>
    <t>ALI KHAN</t>
  </si>
  <si>
    <t>FAGU BARIK</t>
  </si>
  <si>
    <t>BISWANATH DAS</t>
  </si>
  <si>
    <t>OD09Z7887</t>
  </si>
  <si>
    <t>SARAT BARIK</t>
  </si>
  <si>
    <t>BIBEK BABU</t>
  </si>
  <si>
    <t>PARESH KUMAR</t>
  </si>
  <si>
    <t>SUMIT KUMAR DAS</t>
  </si>
  <si>
    <t>CHAITANYA DEHURY</t>
  </si>
  <si>
    <t>07.02.2026</t>
  </si>
  <si>
    <t>ELECTRICITY BILL PAYMENT</t>
  </si>
  <si>
    <t>S.P FUEL DISEL</t>
  </si>
  <si>
    <t>FLS REFUND</t>
  </si>
  <si>
    <t>S.N MOTOR</t>
  </si>
  <si>
    <t xml:space="preserve">LALIT SAHOO </t>
  </si>
  <si>
    <t>08.02.2026</t>
  </si>
  <si>
    <t>DANG JI FITNESS VISIT</t>
  </si>
  <si>
    <t>10.02.2026</t>
  </si>
  <si>
    <t>BABA AUTO</t>
  </si>
  <si>
    <t xml:space="preserve">LAUNDRY </t>
  </si>
  <si>
    <t>VISHWOKARMA EXP</t>
  </si>
  <si>
    <t>0388 REPAIR</t>
  </si>
  <si>
    <t>11.02.2026</t>
  </si>
  <si>
    <t>S.P FUEL CASH EXP</t>
  </si>
  <si>
    <t>REPCAT PAYMENT</t>
  </si>
  <si>
    <t>14.02.2026</t>
  </si>
  <si>
    <t>PANDIT SALARY</t>
  </si>
  <si>
    <t>KHUSHI HARDWAR</t>
  </si>
  <si>
    <t>BATTERY 1PC</t>
  </si>
  <si>
    <t>16.02.2026</t>
  </si>
  <si>
    <t>PARTY PAYMENT</t>
  </si>
  <si>
    <t>19.02.2026</t>
  </si>
  <si>
    <t>FITNESS EXP</t>
  </si>
  <si>
    <t>STELLA EXP</t>
  </si>
  <si>
    <t>22.02.2026</t>
  </si>
  <si>
    <t>HOUSE WI-FI</t>
  </si>
  <si>
    <t>26.02.2026</t>
  </si>
  <si>
    <t>WELDING WIRE</t>
  </si>
  <si>
    <t>NARUH</t>
  </si>
  <si>
    <t>27.02.2026</t>
  </si>
  <si>
    <t>CASH EXPENSES (FEBRUARY)</t>
  </si>
  <si>
    <t>BANK EXPENSES (FEBRUARY)</t>
  </si>
  <si>
    <t>IMPS P2P 601320189074#13/01/2026-EPR2603365216873</t>
  </si>
  <si>
    <t>IMPS P2P 602313142421#23/01/2026-EPR2603872047938</t>
  </si>
  <si>
    <t>NEFT DR-SBIN0005756-RUDRAPRATAP PRATAP DEHURI-NETBANK, MUM-HDFCH00790615444-TRF</t>
  </si>
  <si>
    <t>NEFT DR-SBIN0007474-MANORANJAN SAHOO-NETBANK, MUM-HDFCH00798837182-1488 FITNESS</t>
  </si>
  <si>
    <t>NEFT DR-SBIN0007474-MANORANJAN SAHOO-NETBANK, MUM-HDFCH00801086395-TRF</t>
  </si>
  <si>
    <t>RENT PAYMENT FOR PROPERTY</t>
  </si>
  <si>
    <t>CHALLAN FINE PAYMENT</t>
  </si>
  <si>
    <t>FITNESS PAYMENT</t>
  </si>
  <si>
    <t>GST/BANK REFERENCE NO: R2605170824053/CIN NO: HDFC26022100083822</t>
  </si>
  <si>
    <t>NEFT DR-SBIN0005756-ANATA KUMAR PARIDA-NETBANK, MUM-HDFCH00818189255-SALARY PAYMENTS</t>
  </si>
  <si>
    <t>NEFT DR-SBIN0005756-RAMJI SINGH-NETBANK, MUM-HDFCH00818189393-SALARY PAYMENTS</t>
  </si>
  <si>
    <t>NEFT DR-SBIN0005756-AMARJIT JHA-NETBANK, MUM-HDFCH00818184920-NBDUZ3LLJWVWZELF</t>
  </si>
  <si>
    <t>NEFT DR-SBIN0003610-RENGA MUNDA-NETBANK, MUM-HDFCH00818188556-NBPCJRIDXZCDWDUS</t>
  </si>
  <si>
    <t>NEFT DR-BARB0KOIRAX-DALU NAIK-NETBANK, MUM-HDFCH00818188060-SALARY PAYMENTS</t>
  </si>
  <si>
    <t>NEFT DR-SBIN0003610-YES MUNDA-NETBANK, MUM-HDFCH00818188113-NBNU5OQN1FSZVWVW</t>
  </si>
  <si>
    <t>NEFT DR-BARB0KOIRAX-SUSHIL MUNDA-NETBANK, MUM-HDFCH00818189519-NBJYVBZ92I818BIY</t>
  </si>
  <si>
    <t>NEFT DR-BARB0KOIRAX-BASHU NAIK-NETBANK, MUM-HDFCH00818191437-NBGJAQETOWNVFWYZ</t>
  </si>
  <si>
    <t>NEFT DR-BARB0KOIRAX-SRIKRUSHNA MAHAKUD-NETBANK, MUM-HDFCH00818188852-NBA7PRLIBIGU8928</t>
  </si>
  <si>
    <t>NEFT DR-SBIN0005756-GEETA DEHURY-NETBANK, MUM-HDFCH00818188179-SALARY PAYMENTS</t>
  </si>
  <si>
    <t>NEFT DR-SBIN0005756-SABITA DAS-NETBANK, MUM-HDFCH00818193205-SALARY PAYMENTS</t>
  </si>
  <si>
    <t>NEFT DR-SBIN0005756-JYOSHNA DEHURY-NETBANK, MUM-HDFCH00818191602-SALARY PAYMENTS</t>
  </si>
  <si>
    <t>NEFT DR-BARB0KOIRAX-PUJA DEHURY-NETBANK, MUM-HDFCH00818193262-SALARY PAYMENTS</t>
  </si>
  <si>
    <t>NEFT DR-BARB0KOIRAX-SANIARI MUNDA-NETBANK, MUM-HDFCH00818189897-NBSEVHBJMDNLJG2U</t>
  </si>
  <si>
    <t>NEFT DR-SBIN0005756-BANA MUNDA-NETBANK, MUM-HDFCH00818191758-SALARY PAYMENTS</t>
  </si>
  <si>
    <t>NEFT DR-BARB0KOIRAX-ALEKH DEHURY-NETBANK, MUM-HDFCH00818191818-NBQVFNA5JJOMS3XB</t>
  </si>
  <si>
    <t>NEFT DR-SBIN0012075-RUSHI NAIK-NETBANK, MUM-HDFCH00818192516-NBPAJGDCITMSWT0C</t>
  </si>
  <si>
    <t>NEFT DR-BARB0KOIRAX-MUKUNDA NAIK-NETBANK, MUM-HDFCH00818191948-SALARY PAYMENTS</t>
  </si>
  <si>
    <t>NEFT DR-SBIN0008878-CHIRLUM MUNDA-NETBANK, MUM-HDFCH00818190611-SALARY PAYMENTS</t>
  </si>
  <si>
    <t>NEFT DR-BARB0KOIRAX-JOHAN NAG-NETBANK, MUM-HDFCH00818208736-SALARY PAYMENTS</t>
  </si>
  <si>
    <t>02431000009131-TPT-NBW9EHIFJNQ01CQI-SATISH KUMAR SAHOO</t>
  </si>
  <si>
    <t>SALARY PAYMENTS</t>
  </si>
  <si>
    <t>CHDFATY1COLFG7/BILLDKODISHADISCOM</t>
  </si>
  <si>
    <t>CHDF9781CONV4A/BILLDKODISHADISCOM</t>
  </si>
  <si>
    <t>ELECTRICITY BILL PAYMENTS</t>
  </si>
  <si>
    <t>DIESEL PAYMENT SP FUELS</t>
  </si>
  <si>
    <t>50200049900960-TPT-TRF-DEONARAYAN PRASAD SAHOO</t>
  </si>
  <si>
    <t>LIQUOR A/C REFUND</t>
  </si>
  <si>
    <t>NET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</si>
</sst>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₹&quot;\ #,##0.00;[Red]&quot;₹&quot;\ \-#,##0.00"/>
    <numFmt numFmtId="44" formatCode="_ &quot;₹&quot;\ * #,##0.00_ ;_ &quot;₹&quot;\ * \-#,##0.00_ ;_ &quot;₹&quot;\ * &quot;-&quot;??_ ;_ @_ "/>
    <numFmt numFmtId="164" formatCode="&quot;₹&quot;\ #,##0.00"/>
    <numFmt numFmtId="165" formatCode="0.000"/>
    <numFmt numFmtId="166" formatCode="dd\-mm\-yyyy;@"/>
    <numFmt numFmtId="167" formatCode="\₹\ 0.00"/>
    <numFmt numFmtId="168" formatCode="\₹\ #,##0.00"/>
  </numFmts>
  <fonts count="3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5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25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1"/>
      <name val="Calibri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1"/>
      <name val="Calibri"/>
      <family val="1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FD965"/>
        <bgColor rgb="FFFFD96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BC2E6"/>
      </patternFill>
    </fill>
    <fill>
      <patternFill patternType="solid">
        <fgColor rgb="FFFFD966"/>
      </patternFill>
    </fill>
    <fill>
      <patternFill patternType="solid">
        <fgColor rgb="FF9CC2E4"/>
      </patternFill>
    </fill>
    <fill>
      <patternFill patternType="solid">
        <fgColor rgb="FFFFD964"/>
      </patternFill>
    </fill>
    <fill>
      <patternFill patternType="solid">
        <fgColor rgb="FFFFFF00"/>
      </patternFill>
    </fill>
    <fill>
      <patternFill patternType="solid">
        <fgColor rgb="FFF4AF84"/>
      </patternFill>
    </fill>
  </fills>
  <borders count="1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5" fillId="0" borderId="0"/>
    <xf numFmtId="0" fontId="31" fillId="0" borderId="0"/>
  </cellStyleXfs>
  <cellXfs count="530">
    <xf numFmtId="0" fontId="0" fillId="0" borderId="0" xfId="0"/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164" fontId="15" fillId="0" borderId="12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164" fontId="15" fillId="0" borderId="14" xfId="0" applyNumberFormat="1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14" fontId="15" fillId="0" borderId="4" xfId="0" applyNumberFormat="1" applyFont="1" applyBorder="1" applyAlignment="1">
      <alignment vertical="center"/>
    </xf>
    <xf numFmtId="14" fontId="15" fillId="0" borderId="11" xfId="0" applyNumberFormat="1" applyFont="1" applyBorder="1" applyAlignment="1">
      <alignment vertical="center"/>
    </xf>
    <xf numFmtId="0" fontId="15" fillId="0" borderId="18" xfId="0" applyFont="1" applyBorder="1" applyAlignment="1">
      <alignment horizontal="center" vertical="center"/>
    </xf>
    <xf numFmtId="164" fontId="15" fillId="0" borderId="18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164" fontId="15" fillId="0" borderId="19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164" fontId="15" fillId="0" borderId="22" xfId="0" applyNumberFormat="1" applyFont="1" applyBorder="1" applyAlignment="1">
      <alignment horizontal="center" vertical="center"/>
    </xf>
    <xf numFmtId="164" fontId="15" fillId="0" borderId="21" xfId="0" applyNumberFormat="1" applyFont="1" applyBorder="1" applyAlignment="1">
      <alignment horizontal="center" vertical="center"/>
    </xf>
    <xf numFmtId="14" fontId="15" fillId="0" borderId="18" xfId="0" applyNumberFormat="1" applyFont="1" applyBorder="1" applyAlignment="1">
      <alignment horizontal="center" vertical="center"/>
    </xf>
    <xf numFmtId="14" fontId="15" fillId="0" borderId="14" xfId="0" applyNumberFormat="1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164" fontId="15" fillId="0" borderId="23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165" fontId="15" fillId="0" borderId="12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15" fillId="0" borderId="0" xfId="0" applyFont="1"/>
    <xf numFmtId="165" fontId="15" fillId="0" borderId="2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64" fontId="14" fillId="0" borderId="5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14" fillId="3" borderId="27" xfId="0" applyFont="1" applyFill="1" applyBorder="1" applyAlignment="1">
      <alignment horizontal="center" vertical="center"/>
    </xf>
    <xf numFmtId="0" fontId="14" fillId="3" borderId="28" xfId="0" applyFont="1" applyFill="1" applyBorder="1" applyAlignment="1">
      <alignment horizontal="center" vertical="center"/>
    </xf>
    <xf numFmtId="165" fontId="14" fillId="3" borderId="28" xfId="0" applyNumberFormat="1" applyFont="1" applyFill="1" applyBorder="1" applyAlignment="1">
      <alignment horizontal="center" vertical="center"/>
    </xf>
    <xf numFmtId="164" fontId="14" fillId="3" borderId="28" xfId="0" applyNumberFormat="1" applyFont="1" applyFill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vertical="center"/>
    </xf>
    <xf numFmtId="165" fontId="15" fillId="0" borderId="0" xfId="0" applyNumberFormat="1" applyFont="1"/>
    <xf numFmtId="164" fontId="15" fillId="0" borderId="0" xfId="0" applyNumberFormat="1" applyFont="1"/>
    <xf numFmtId="164" fontId="15" fillId="4" borderId="12" xfId="0" applyNumberFormat="1" applyFont="1" applyFill="1" applyBorder="1" applyAlignment="1">
      <alignment horizontal="center" vertical="center"/>
    </xf>
    <xf numFmtId="164" fontId="15" fillId="4" borderId="18" xfId="0" applyNumberFormat="1" applyFont="1" applyFill="1" applyBorder="1" applyAlignment="1">
      <alignment horizontal="center" vertical="center"/>
    </xf>
    <xf numFmtId="164" fontId="15" fillId="4" borderId="14" xfId="0" applyNumberFormat="1" applyFont="1" applyFill="1" applyBorder="1" applyAlignment="1">
      <alignment horizontal="center" vertical="center"/>
    </xf>
    <xf numFmtId="164" fontId="15" fillId="0" borderId="10" xfId="0" applyNumberFormat="1" applyFont="1" applyBorder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165" fontId="15" fillId="5" borderId="18" xfId="0" applyNumberFormat="1" applyFont="1" applyFill="1" applyBorder="1" applyAlignment="1">
      <alignment horizontal="center" vertical="center"/>
    </xf>
    <xf numFmtId="164" fontId="15" fillId="5" borderId="18" xfId="0" applyNumberFormat="1" applyFont="1" applyFill="1" applyBorder="1" applyAlignment="1">
      <alignment horizontal="center" vertical="center"/>
    </xf>
    <xf numFmtId="164" fontId="15" fillId="5" borderId="10" xfId="0" applyNumberFormat="1" applyFont="1" applyFill="1" applyBorder="1" applyAlignment="1">
      <alignment horizontal="center" vertical="center"/>
    </xf>
    <xf numFmtId="164" fontId="15" fillId="0" borderId="24" xfId="0" applyNumberFormat="1" applyFont="1" applyBorder="1" applyAlignment="1">
      <alignment horizontal="center" vertical="center"/>
    </xf>
    <xf numFmtId="164" fontId="15" fillId="0" borderId="8" xfId="0" applyNumberFormat="1" applyFont="1" applyBorder="1" applyAlignment="1">
      <alignment horizontal="center" vertical="center"/>
    </xf>
    <xf numFmtId="164" fontId="15" fillId="0" borderId="15" xfId="0" applyNumberFormat="1" applyFont="1" applyBorder="1" applyAlignment="1">
      <alignment horizontal="center" vertical="center"/>
    </xf>
    <xf numFmtId="14" fontId="15" fillId="0" borderId="30" xfId="0" applyNumberFormat="1" applyFont="1" applyBorder="1" applyAlignment="1">
      <alignment horizontal="center" vertical="center"/>
    </xf>
    <xf numFmtId="165" fontId="15" fillId="0" borderId="31" xfId="0" applyNumberFormat="1" applyFont="1" applyBorder="1" applyAlignment="1">
      <alignment horizontal="center" vertical="center"/>
    </xf>
    <xf numFmtId="164" fontId="15" fillId="0" borderId="31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0" fontId="15" fillId="0" borderId="5" xfId="0" applyFont="1" applyBorder="1"/>
    <xf numFmtId="164" fontId="15" fillId="0" borderId="6" xfId="0" applyNumberFormat="1" applyFont="1" applyBorder="1" applyAlignment="1">
      <alignment horizontal="center" vertical="center"/>
    </xf>
    <xf numFmtId="0" fontId="15" fillId="0" borderId="18" xfId="0" applyFont="1" applyBorder="1" applyAlignment="1">
      <alignment horizontal="left" vertical="center"/>
    </xf>
    <xf numFmtId="44" fontId="15" fillId="0" borderId="18" xfId="0" applyNumberFormat="1" applyFont="1" applyBorder="1" applyAlignment="1">
      <alignment horizontal="center" vertical="center"/>
    </xf>
    <xf numFmtId="14" fontId="15" fillId="0" borderId="7" xfId="0" applyNumberFormat="1" applyFont="1" applyBorder="1" applyAlignment="1">
      <alignment horizontal="center" vertical="center"/>
    </xf>
    <xf numFmtId="0" fontId="15" fillId="0" borderId="12" xfId="0" applyFont="1" applyBorder="1"/>
    <xf numFmtId="0" fontId="15" fillId="0" borderId="8" xfId="0" applyFont="1" applyBorder="1"/>
    <xf numFmtId="14" fontId="15" fillId="0" borderId="9" xfId="0" applyNumberFormat="1" applyFont="1" applyBorder="1" applyAlignment="1">
      <alignment horizontal="center" vertical="center"/>
    </xf>
    <xf numFmtId="0" fontId="15" fillId="0" borderId="18" xfId="0" applyFont="1" applyBorder="1"/>
    <xf numFmtId="0" fontId="15" fillId="0" borderId="10" xfId="0" applyFont="1" applyBorder="1"/>
    <xf numFmtId="14" fontId="15" fillId="0" borderId="33" xfId="0" applyNumberFormat="1" applyFont="1" applyBorder="1" applyAlignment="1">
      <alignment horizontal="center" vertical="center"/>
    </xf>
    <xf numFmtId="14" fontId="15" fillId="0" borderId="16" xfId="0" applyNumberFormat="1" applyFont="1" applyBorder="1" applyAlignment="1">
      <alignment horizontal="center" vertical="center"/>
    </xf>
    <xf numFmtId="0" fontId="15" fillId="0" borderId="34" xfId="0" applyFont="1" applyBorder="1"/>
    <xf numFmtId="164" fontId="15" fillId="0" borderId="35" xfId="0" applyNumberFormat="1" applyFont="1" applyBorder="1" applyAlignment="1">
      <alignment horizontal="center" vertical="center"/>
    </xf>
    <xf numFmtId="0" fontId="15" fillId="0" borderId="36" xfId="0" applyFont="1" applyBorder="1"/>
    <xf numFmtId="44" fontId="15" fillId="0" borderId="23" xfId="0" applyNumberFormat="1" applyFont="1" applyBorder="1" applyAlignment="1">
      <alignment horizontal="center" vertical="center"/>
    </xf>
    <xf numFmtId="164" fontId="14" fillId="0" borderId="35" xfId="0" applyNumberFormat="1" applyFont="1" applyBorder="1" applyAlignment="1">
      <alignment horizontal="center" vertical="center"/>
    </xf>
    <xf numFmtId="0" fontId="15" fillId="0" borderId="18" xfId="0" applyFont="1" applyBorder="1" applyAlignment="1">
      <alignment horizontal="center"/>
    </xf>
    <xf numFmtId="0" fontId="15" fillId="0" borderId="23" xfId="0" applyFont="1" applyBorder="1"/>
    <xf numFmtId="0" fontId="15" fillId="0" borderId="24" xfId="0" applyFont="1" applyBorder="1"/>
    <xf numFmtId="0" fontId="15" fillId="0" borderId="22" xfId="0" applyFont="1" applyBorder="1" applyAlignment="1">
      <alignment horizontal="center" vertical="center"/>
    </xf>
    <xf numFmtId="164" fontId="14" fillId="0" borderId="18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left" vertical="center"/>
    </xf>
    <xf numFmtId="14" fontId="15" fillId="0" borderId="33" xfId="0" applyNumberFormat="1" applyFont="1" applyBorder="1" applyAlignment="1">
      <alignment vertical="center"/>
    </xf>
    <xf numFmtId="14" fontId="15" fillId="0" borderId="25" xfId="0" applyNumberFormat="1" applyFont="1" applyBorder="1" applyAlignment="1">
      <alignment vertical="center"/>
    </xf>
    <xf numFmtId="0" fontId="15" fillId="0" borderId="23" xfId="0" applyFont="1" applyBorder="1" applyAlignment="1">
      <alignment horizontal="left" vertical="center"/>
    </xf>
    <xf numFmtId="0" fontId="14" fillId="3" borderId="43" xfId="0" applyFont="1" applyFill="1" applyBorder="1" applyAlignment="1">
      <alignment horizontal="center" vertical="center"/>
    </xf>
    <xf numFmtId="0" fontId="14" fillId="3" borderId="44" xfId="0" applyFont="1" applyFill="1" applyBorder="1" applyAlignment="1">
      <alignment horizontal="center" vertical="center"/>
    </xf>
    <xf numFmtId="0" fontId="14" fillId="3" borderId="45" xfId="0" applyFont="1" applyFill="1" applyBorder="1" applyAlignment="1">
      <alignment horizontal="center" vertical="center"/>
    </xf>
    <xf numFmtId="164" fontId="15" fillId="0" borderId="18" xfId="0" applyNumberFormat="1" applyFont="1" applyBorder="1"/>
    <xf numFmtId="14" fontId="15" fillId="0" borderId="46" xfId="0" applyNumberFormat="1" applyFont="1" applyBorder="1" applyAlignment="1">
      <alignment horizontal="center" vertical="center"/>
    </xf>
    <xf numFmtId="0" fontId="15" fillId="0" borderId="47" xfId="0" applyFont="1" applyBorder="1"/>
    <xf numFmtId="8" fontId="15" fillId="0" borderId="47" xfId="0" applyNumberFormat="1" applyFont="1" applyBorder="1" applyAlignment="1">
      <alignment horizontal="center" vertical="center"/>
    </xf>
    <xf numFmtId="0" fontId="15" fillId="0" borderId="48" xfId="0" applyFont="1" applyBorder="1"/>
    <xf numFmtId="14" fontId="15" fillId="0" borderId="46" xfId="0" applyNumberFormat="1" applyFont="1" applyBorder="1" applyAlignment="1">
      <alignment horizontal="right" vertical="center"/>
    </xf>
    <xf numFmtId="14" fontId="15" fillId="0" borderId="49" xfId="0" applyNumberFormat="1" applyFont="1" applyBorder="1" applyAlignment="1">
      <alignment horizontal="center" vertical="center"/>
    </xf>
    <xf numFmtId="14" fontId="15" fillId="0" borderId="50" xfId="0" applyNumberFormat="1" applyFont="1" applyBorder="1" applyAlignment="1">
      <alignment horizontal="center" vertical="center"/>
    </xf>
    <xf numFmtId="0" fontId="15" fillId="0" borderId="44" xfId="0" applyFont="1" applyBorder="1"/>
    <xf numFmtId="8" fontId="15" fillId="0" borderId="44" xfId="0" applyNumberFormat="1" applyFont="1" applyBorder="1" applyAlignment="1">
      <alignment horizontal="center" vertical="center"/>
    </xf>
    <xf numFmtId="0" fontId="15" fillId="0" borderId="45" xfId="0" applyFont="1" applyBorder="1"/>
    <xf numFmtId="0" fontId="15" fillId="0" borderId="51" xfId="0" applyFont="1" applyBorder="1" applyAlignment="1">
      <alignment vertical="center"/>
    </xf>
    <xf numFmtId="8" fontId="15" fillId="0" borderId="45" xfId="0" applyNumberFormat="1" applyFont="1" applyBorder="1" applyAlignment="1">
      <alignment horizontal="center" vertical="center"/>
    </xf>
    <xf numFmtId="164" fontId="15" fillId="0" borderId="23" xfId="0" applyNumberFormat="1" applyFont="1" applyBorder="1"/>
    <xf numFmtId="164" fontId="15" fillId="0" borderId="5" xfId="0" applyNumberFormat="1" applyFont="1" applyBorder="1"/>
    <xf numFmtId="0" fontId="15" fillId="0" borderId="6" xfId="0" applyFont="1" applyBorder="1"/>
    <xf numFmtId="0" fontId="14" fillId="7" borderId="16" xfId="0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4" fillId="0" borderId="22" xfId="0" applyFont="1" applyBorder="1"/>
    <xf numFmtId="14" fontId="15" fillId="0" borderId="22" xfId="0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left" vertical="center"/>
    </xf>
    <xf numFmtId="0" fontId="14" fillId="0" borderId="0" xfId="0" applyFont="1"/>
    <xf numFmtId="0" fontId="14" fillId="0" borderId="18" xfId="0" applyFont="1" applyBorder="1"/>
    <xf numFmtId="0" fontId="14" fillId="0" borderId="18" xfId="0" applyFont="1" applyBorder="1" applyAlignment="1">
      <alignment horizontal="center" vertical="center"/>
    </xf>
    <xf numFmtId="14" fontId="15" fillId="0" borderId="55" xfId="0" applyNumberFormat="1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15" fillId="0" borderId="57" xfId="0" applyFont="1" applyBorder="1"/>
    <xf numFmtId="0" fontId="15" fillId="0" borderId="55" xfId="0" applyFont="1" applyBorder="1"/>
    <xf numFmtId="0" fontId="15" fillId="0" borderId="56" xfId="0" applyFont="1" applyBorder="1"/>
    <xf numFmtId="0" fontId="14" fillId="0" borderId="58" xfId="0" applyFont="1" applyBorder="1" applyAlignment="1">
      <alignment horizontal="center" vertical="center"/>
    </xf>
    <xf numFmtId="164" fontId="15" fillId="0" borderId="35" xfId="0" applyNumberFormat="1" applyFont="1" applyBorder="1"/>
    <xf numFmtId="164" fontId="14" fillId="0" borderId="23" xfId="0" applyNumberFormat="1" applyFont="1" applyBorder="1" applyAlignment="1">
      <alignment horizontal="center" vertical="center"/>
    </xf>
    <xf numFmtId="0" fontId="15" fillId="0" borderId="22" xfId="0" applyFont="1" applyBorder="1"/>
    <xf numFmtId="164" fontId="14" fillId="0" borderId="59" xfId="0" applyNumberFormat="1" applyFont="1" applyBorder="1" applyAlignment="1">
      <alignment horizontal="center" vertical="center"/>
    </xf>
    <xf numFmtId="14" fontId="14" fillId="0" borderId="18" xfId="0" applyNumberFormat="1" applyFont="1" applyBorder="1" applyAlignment="1">
      <alignment horizontal="center" vertical="center"/>
    </xf>
    <xf numFmtId="0" fontId="15" fillId="0" borderId="60" xfId="0" applyFont="1" applyBorder="1"/>
    <xf numFmtId="0" fontId="16" fillId="9" borderId="61" xfId="0" applyFont="1" applyFill="1" applyBorder="1" applyAlignment="1">
      <alignment horizontal="center" vertical="center"/>
    </xf>
    <xf numFmtId="14" fontId="0" fillId="0" borderId="62" xfId="0" applyNumberFormat="1" applyBorder="1" applyAlignment="1">
      <alignment horizontal="center" vertical="center"/>
    </xf>
    <xf numFmtId="0" fontId="16" fillId="0" borderId="61" xfId="0" applyFont="1" applyBorder="1"/>
    <xf numFmtId="164" fontId="0" fillId="0" borderId="61" xfId="0" applyNumberFormat="1" applyBorder="1" applyAlignment="1">
      <alignment horizontal="center" vertical="center"/>
    </xf>
    <xf numFmtId="0" fontId="16" fillId="0" borderId="61" xfId="0" applyFont="1" applyBorder="1" applyAlignment="1">
      <alignment horizontal="left" vertical="center"/>
    </xf>
    <xf numFmtId="14" fontId="0" fillId="0" borderId="61" xfId="0" applyNumberFormat="1" applyBorder="1" applyAlignment="1">
      <alignment horizontal="center" vertical="center"/>
    </xf>
    <xf numFmtId="0" fontId="16" fillId="0" borderId="0" xfId="0" applyFont="1"/>
    <xf numFmtId="0" fontId="16" fillId="0" borderId="63" xfId="0" applyFont="1" applyBorder="1"/>
    <xf numFmtId="14" fontId="0" fillId="0" borderId="64" xfId="0" applyNumberFormat="1" applyBorder="1" applyAlignment="1">
      <alignment horizontal="center" vertical="center"/>
    </xf>
    <xf numFmtId="0" fontId="0" fillId="0" borderId="61" xfId="0" applyBorder="1"/>
    <xf numFmtId="164" fontId="0" fillId="0" borderId="62" xfId="0" applyNumberFormat="1" applyBorder="1" applyAlignment="1">
      <alignment horizontal="center" vertical="center"/>
    </xf>
    <xf numFmtId="0" fontId="16" fillId="0" borderId="65" xfId="0" applyFont="1" applyBorder="1"/>
    <xf numFmtId="164" fontId="16" fillId="0" borderId="66" xfId="0" applyNumberFormat="1" applyFont="1" applyBorder="1" applyAlignment="1">
      <alignment horizontal="center" vertical="center"/>
    </xf>
    <xf numFmtId="0" fontId="0" fillId="0" borderId="63" xfId="0" applyBorder="1"/>
    <xf numFmtId="0" fontId="0" fillId="0" borderId="65" xfId="0" applyBorder="1"/>
    <xf numFmtId="0" fontId="16" fillId="11" borderId="61" xfId="0" applyFont="1" applyFill="1" applyBorder="1" applyAlignment="1">
      <alignment horizontal="center" vertical="center"/>
    </xf>
    <xf numFmtId="0" fontId="16" fillId="11" borderId="65" xfId="0" applyFont="1" applyFill="1" applyBorder="1" applyAlignment="1">
      <alignment horizontal="center" vertical="center"/>
    </xf>
    <xf numFmtId="0" fontId="16" fillId="11" borderId="70" xfId="0" applyFont="1" applyFill="1" applyBorder="1" applyAlignment="1">
      <alignment horizontal="center" vertical="center"/>
    </xf>
    <xf numFmtId="0" fontId="16" fillId="11" borderId="71" xfId="0" applyFont="1" applyFill="1" applyBorder="1" applyAlignment="1">
      <alignment horizontal="center" vertical="center"/>
    </xf>
    <xf numFmtId="0" fontId="16" fillId="11" borderId="72" xfId="0" applyFont="1" applyFill="1" applyBorder="1" applyAlignment="1">
      <alignment horizontal="center" vertical="center"/>
    </xf>
    <xf numFmtId="0" fontId="16" fillId="11" borderId="73" xfId="0" applyFont="1" applyFill="1" applyBorder="1" applyAlignment="1">
      <alignment horizontal="center" vertical="center"/>
    </xf>
    <xf numFmtId="0" fontId="17" fillId="0" borderId="61" xfId="0" applyFont="1" applyBorder="1"/>
    <xf numFmtId="8" fontId="17" fillId="0" borderId="65" xfId="0" applyNumberFormat="1" applyFont="1" applyBorder="1" applyAlignment="1">
      <alignment horizontal="center"/>
    </xf>
    <xf numFmtId="14" fontId="0" fillId="0" borderId="74" xfId="0" applyNumberFormat="1" applyBorder="1"/>
    <xf numFmtId="0" fontId="0" fillId="0" borderId="75" xfId="0" applyBorder="1"/>
    <xf numFmtId="164" fontId="0" fillId="0" borderId="75" xfId="0" applyNumberFormat="1" applyBorder="1"/>
    <xf numFmtId="0" fontId="0" fillId="0" borderId="76" xfId="0" applyBorder="1"/>
    <xf numFmtId="14" fontId="0" fillId="0" borderId="77" xfId="0" applyNumberFormat="1" applyBorder="1"/>
    <xf numFmtId="164" fontId="0" fillId="0" borderId="61" xfId="0" applyNumberFormat="1" applyBorder="1"/>
    <xf numFmtId="0" fontId="0" fillId="0" borderId="78" xfId="0" applyBorder="1"/>
    <xf numFmtId="14" fontId="0" fillId="0" borderId="79" xfId="0" applyNumberFormat="1" applyBorder="1"/>
    <xf numFmtId="0" fontId="0" fillId="0" borderId="62" xfId="0" applyBorder="1"/>
    <xf numFmtId="164" fontId="0" fillId="0" borderId="62" xfId="0" applyNumberFormat="1" applyBorder="1"/>
    <xf numFmtId="0" fontId="0" fillId="0" borderId="80" xfId="0" applyBorder="1"/>
    <xf numFmtId="0" fontId="0" fillId="0" borderId="81" xfId="0" applyBorder="1"/>
    <xf numFmtId="0" fontId="16" fillId="0" borderId="82" xfId="0" applyFont="1" applyBorder="1" applyAlignment="1">
      <alignment horizontal="right" vertical="center"/>
    </xf>
    <xf numFmtId="164" fontId="16" fillId="0" borderId="82" xfId="0" applyNumberFormat="1" applyFont="1" applyBorder="1" applyAlignment="1">
      <alignment horizontal="center" vertical="center"/>
    </xf>
    <xf numFmtId="0" fontId="0" fillId="0" borderId="83" xfId="0" applyBorder="1"/>
    <xf numFmtId="0" fontId="18" fillId="0" borderId="61" xfId="0" applyFont="1" applyBorder="1"/>
    <xf numFmtId="8" fontId="17" fillId="0" borderId="65" xfId="0" applyNumberFormat="1" applyFont="1" applyBorder="1" applyAlignment="1">
      <alignment horizontal="center" vertical="center"/>
    </xf>
    <xf numFmtId="0" fontId="21" fillId="10" borderId="86" xfId="0" applyFont="1" applyFill="1" applyBorder="1" applyAlignment="1">
      <alignment horizontal="center" vertical="center"/>
    </xf>
    <xf numFmtId="0" fontId="21" fillId="10" borderId="87" xfId="0" applyFont="1" applyFill="1" applyBorder="1" applyAlignment="1">
      <alignment horizontal="center" vertical="center"/>
    </xf>
    <xf numFmtId="0" fontId="21" fillId="10" borderId="88" xfId="0" applyFont="1" applyFill="1" applyBorder="1" applyAlignment="1">
      <alignment horizontal="center" vertical="center"/>
    </xf>
    <xf numFmtId="14" fontId="0" fillId="0" borderId="74" xfId="0" applyNumberForma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164" fontId="0" fillId="0" borderId="75" xfId="0" applyNumberFormat="1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14" fontId="0" fillId="0" borderId="77" xfId="0" applyNumberForma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14" fontId="0" fillId="0" borderId="70" xfId="0" applyNumberForma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164" fontId="0" fillId="0" borderId="71" xfId="0" applyNumberFormat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2" fontId="16" fillId="0" borderId="64" xfId="0" applyNumberFormat="1" applyFont="1" applyBorder="1" applyAlignment="1">
      <alignment horizontal="center" vertical="center"/>
    </xf>
    <xf numFmtId="0" fontId="16" fillId="0" borderId="64" xfId="0" applyFont="1" applyBorder="1" applyAlignment="1">
      <alignment horizontal="center"/>
    </xf>
    <xf numFmtId="164" fontId="16" fillId="0" borderId="64" xfId="0" applyNumberFormat="1" applyFont="1" applyBorder="1" applyAlignment="1">
      <alignment horizontal="center" vertical="center"/>
    </xf>
    <xf numFmtId="0" fontId="21" fillId="10" borderId="81" xfId="0" applyFont="1" applyFill="1" applyBorder="1" applyAlignment="1">
      <alignment horizontal="center" vertical="center"/>
    </xf>
    <xf numFmtId="0" fontId="21" fillId="10" borderId="82" xfId="0" applyFont="1" applyFill="1" applyBorder="1" applyAlignment="1">
      <alignment horizontal="center" vertical="center"/>
    </xf>
    <xf numFmtId="0" fontId="21" fillId="10" borderId="83" xfId="0" applyFont="1" applyFill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164" fontId="0" fillId="0" borderId="64" xfId="0" applyNumberFormat="1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2" fontId="16" fillId="0" borderId="82" xfId="0" applyNumberFormat="1" applyFont="1" applyBorder="1" applyAlignment="1">
      <alignment horizontal="center" vertical="center"/>
    </xf>
    <xf numFmtId="0" fontId="16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21" fillId="10" borderId="91" xfId="0" applyFont="1" applyFill="1" applyBorder="1" applyAlignment="1">
      <alignment horizontal="center" vertical="center"/>
    </xf>
    <xf numFmtId="0" fontId="21" fillId="10" borderId="92" xfId="0" applyFont="1" applyFill="1" applyBorder="1" applyAlignment="1">
      <alignment horizontal="center" vertical="center"/>
    </xf>
    <xf numFmtId="0" fontId="21" fillId="10" borderId="93" xfId="0" applyFon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82" xfId="0" applyBorder="1"/>
    <xf numFmtId="14" fontId="0" fillId="0" borderId="94" xfId="0" applyNumberFormat="1" applyBorder="1" applyAlignment="1">
      <alignment horizontal="center" vertical="center"/>
    </xf>
    <xf numFmtId="14" fontId="0" fillId="0" borderId="70" xfId="0" applyNumberFormat="1" applyBorder="1"/>
    <xf numFmtId="0" fontId="22" fillId="0" borderId="0" xfId="0" applyFont="1" applyAlignment="1">
      <alignment horizontal="center" vertical="top" wrapText="1"/>
    </xf>
    <xf numFmtId="0" fontId="17" fillId="0" borderId="18" xfId="0" applyFont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11" fillId="0" borderId="78" xfId="0" applyFont="1" applyBorder="1" applyAlignment="1">
      <alignment horizontal="center" vertical="center"/>
    </xf>
    <xf numFmtId="14" fontId="0" fillId="0" borderId="79" xfId="0" applyNumberForma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2" fontId="15" fillId="0" borderId="97" xfId="0" applyNumberFormat="1" applyFont="1" applyBorder="1" applyAlignment="1">
      <alignment horizontal="center" vertical="center"/>
    </xf>
    <xf numFmtId="0" fontId="15" fillId="0" borderId="97" xfId="0" applyFont="1" applyBorder="1"/>
    <xf numFmtId="164" fontId="15" fillId="0" borderId="97" xfId="0" applyNumberFormat="1" applyFont="1" applyBorder="1" applyAlignment="1">
      <alignment horizontal="center" vertical="center"/>
    </xf>
    <xf numFmtId="0" fontId="0" fillId="0" borderId="98" xfId="0" applyBorder="1"/>
    <xf numFmtId="0" fontId="19" fillId="3" borderId="4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24" fillId="15" borderId="23" xfId="1" applyFont="1" applyFill="1" applyBorder="1" applyAlignment="1">
      <alignment horizontal="center" vertical="top" wrapText="1"/>
    </xf>
    <xf numFmtId="0" fontId="24" fillId="15" borderId="23" xfId="1" applyFont="1" applyFill="1" applyBorder="1" applyAlignment="1">
      <alignment horizontal="left" vertical="top" wrapText="1" indent="3"/>
    </xf>
    <xf numFmtId="0" fontId="24" fillId="15" borderId="23" xfId="1" applyFont="1" applyFill="1" applyBorder="1" applyAlignment="1">
      <alignment horizontal="left" vertical="top" wrapText="1" indent="1"/>
    </xf>
    <xf numFmtId="166" fontId="28" fillId="0" borderId="61" xfId="1" applyNumberFormat="1" applyFont="1" applyBorder="1" applyAlignment="1">
      <alignment horizontal="center" vertical="top" shrinkToFit="1"/>
    </xf>
    <xf numFmtId="0" fontId="23" fillId="0" borderId="61" xfId="1" applyFont="1" applyBorder="1" applyAlignment="1">
      <alignment horizontal="left" vertical="top" wrapText="1"/>
    </xf>
    <xf numFmtId="168" fontId="28" fillId="0" borderId="61" xfId="1" applyNumberFormat="1" applyFont="1" applyBorder="1" applyAlignment="1">
      <alignment horizontal="right" vertical="top" shrinkToFit="1"/>
    </xf>
    <xf numFmtId="0" fontId="27" fillId="0" borderId="61" xfId="1" applyFont="1" applyBorder="1" applyAlignment="1">
      <alignment horizontal="left" wrapText="1"/>
    </xf>
    <xf numFmtId="167" fontId="28" fillId="0" borderId="61" xfId="1" applyNumberFormat="1" applyFont="1" applyBorder="1" applyAlignment="1">
      <alignment horizontal="right" vertical="top" shrinkToFit="1"/>
    </xf>
    <xf numFmtId="166" fontId="28" fillId="0" borderId="62" xfId="1" applyNumberFormat="1" applyFont="1" applyBorder="1" applyAlignment="1">
      <alignment horizontal="center" vertical="top" shrinkToFit="1"/>
    </xf>
    <xf numFmtId="0" fontId="23" fillId="0" borderId="62" xfId="1" applyFont="1" applyBorder="1" applyAlignment="1">
      <alignment horizontal="left" vertical="top" wrapText="1"/>
    </xf>
    <xf numFmtId="168" fontId="28" fillId="0" borderId="62" xfId="1" applyNumberFormat="1" applyFont="1" applyBorder="1" applyAlignment="1">
      <alignment horizontal="right" vertical="top" shrinkToFit="1"/>
    </xf>
    <xf numFmtId="0" fontId="27" fillId="0" borderId="62" xfId="1" applyFont="1" applyBorder="1" applyAlignment="1">
      <alignment horizontal="left" wrapText="1"/>
    </xf>
    <xf numFmtId="8" fontId="23" fillId="0" borderId="82" xfId="1" applyNumberFormat="1" applyFont="1" applyBorder="1" applyAlignment="1">
      <alignment horizontal="right" vertical="top" wrapText="1"/>
    </xf>
    <xf numFmtId="0" fontId="27" fillId="0" borderId="83" xfId="1" applyFont="1" applyBorder="1" applyAlignment="1">
      <alignment horizontal="left" wrapText="1"/>
    </xf>
    <xf numFmtId="0" fontId="24" fillId="17" borderId="18" xfId="1" applyFont="1" applyFill="1" applyBorder="1" applyAlignment="1">
      <alignment horizontal="center" vertical="top" wrapText="1"/>
    </xf>
    <xf numFmtId="0" fontId="24" fillId="17" borderId="18" xfId="1" applyFont="1" applyFill="1" applyBorder="1" applyAlignment="1">
      <alignment horizontal="left" vertical="top" wrapText="1" indent="2"/>
    </xf>
    <xf numFmtId="0" fontId="23" fillId="0" borderId="18" xfId="1" applyFont="1" applyBorder="1" applyAlignment="1">
      <alignment horizontal="left" vertical="top" wrapText="1"/>
    </xf>
    <xf numFmtId="0" fontId="27" fillId="0" borderId="18" xfId="1" applyFont="1" applyBorder="1" applyAlignment="1">
      <alignment horizontal="left" wrapText="1"/>
    </xf>
    <xf numFmtId="168" fontId="28" fillId="0" borderId="18" xfId="1" applyNumberFormat="1" applyFont="1" applyBorder="1" applyAlignment="1">
      <alignment horizontal="center" vertical="top" shrinkToFit="1"/>
    </xf>
    <xf numFmtId="8" fontId="23" fillId="0" borderId="18" xfId="1" applyNumberFormat="1" applyFont="1" applyBorder="1" applyAlignment="1">
      <alignment horizontal="center" vertical="top" wrapText="1"/>
    </xf>
    <xf numFmtId="0" fontId="29" fillId="0" borderId="18" xfId="1" applyFont="1" applyBorder="1" applyAlignment="1">
      <alignment horizontal="left" vertical="top" wrapText="1"/>
    </xf>
    <xf numFmtId="166" fontId="28" fillId="0" borderId="18" xfId="1" applyNumberFormat="1" applyFont="1" applyBorder="1" applyAlignment="1">
      <alignment horizontal="center" vertical="center" shrinkToFit="1"/>
    </xf>
    <xf numFmtId="0" fontId="30" fillId="0" borderId="18" xfId="1" applyFont="1" applyBorder="1" applyAlignment="1">
      <alignment horizontal="left" wrapText="1"/>
    </xf>
    <xf numFmtId="0" fontId="24" fillId="19" borderId="18" xfId="2" applyFont="1" applyFill="1" applyBorder="1" applyAlignment="1">
      <alignment horizontal="center" vertical="top" wrapText="1"/>
    </xf>
    <xf numFmtId="0" fontId="24" fillId="19" borderId="18" xfId="2" applyFont="1" applyFill="1" applyBorder="1" applyAlignment="1">
      <alignment horizontal="right" vertical="top" wrapText="1" indent="3"/>
    </xf>
    <xf numFmtId="0" fontId="24" fillId="19" borderId="18" xfId="2" applyFont="1" applyFill="1" applyBorder="1" applyAlignment="1">
      <alignment horizontal="left" vertical="top" wrapText="1" indent="3"/>
    </xf>
    <xf numFmtId="0" fontId="24" fillId="19" borderId="18" xfId="2" applyFont="1" applyFill="1" applyBorder="1" applyAlignment="1">
      <alignment horizontal="right" vertical="top" wrapText="1"/>
    </xf>
    <xf numFmtId="0" fontId="24" fillId="0" borderId="18" xfId="2" applyFont="1" applyBorder="1" applyAlignment="1">
      <alignment horizontal="left" vertical="top" wrapText="1"/>
    </xf>
    <xf numFmtId="166" fontId="28" fillId="0" borderId="18" xfId="2" applyNumberFormat="1" applyFont="1" applyBorder="1" applyAlignment="1">
      <alignment horizontal="center" vertical="top" shrinkToFit="1"/>
    </xf>
    <xf numFmtId="0" fontId="31" fillId="0" borderId="18" xfId="2" applyBorder="1" applyAlignment="1">
      <alignment horizontal="left" wrapText="1"/>
    </xf>
    <xf numFmtId="8" fontId="23" fillId="0" borderId="18" xfId="2" applyNumberFormat="1" applyFont="1" applyBorder="1" applyAlignment="1">
      <alignment horizontal="center" vertical="center" wrapText="1"/>
    </xf>
    <xf numFmtId="0" fontId="31" fillId="0" borderId="56" xfId="2" applyBorder="1" applyAlignment="1">
      <alignment horizontal="left" wrapText="1"/>
    </xf>
    <xf numFmtId="0" fontId="31" fillId="0" borderId="55" xfId="2" applyBorder="1" applyAlignment="1">
      <alignment horizontal="left" wrapText="1"/>
    </xf>
    <xf numFmtId="8" fontId="24" fillId="0" borderId="66" xfId="2" applyNumberFormat="1" applyFont="1" applyBorder="1" applyAlignment="1">
      <alignment horizontal="center" vertical="center" wrapText="1"/>
    </xf>
    <xf numFmtId="0" fontId="31" fillId="0" borderId="23" xfId="2" applyBorder="1" applyAlignment="1">
      <alignment horizontal="left" wrapText="1"/>
    </xf>
    <xf numFmtId="0" fontId="31" fillId="0" borderId="22" xfId="2" applyBorder="1" applyAlignment="1">
      <alignment horizontal="left" wrapText="1"/>
    </xf>
    <xf numFmtId="0" fontId="31" fillId="0" borderId="57" xfId="2" applyBorder="1" applyAlignment="1">
      <alignment horizontal="left" wrapText="1"/>
    </xf>
    <xf numFmtId="8" fontId="24" fillId="0" borderId="100" xfId="2" applyNumberFormat="1" applyFont="1" applyBorder="1" applyAlignment="1">
      <alignment horizontal="center" vertical="center" wrapText="1"/>
    </xf>
    <xf numFmtId="166" fontId="28" fillId="0" borderId="101" xfId="2" applyNumberFormat="1" applyFont="1" applyBorder="1" applyAlignment="1">
      <alignment horizontal="center" vertical="top" shrinkToFit="1"/>
    </xf>
    <xf numFmtId="0" fontId="24" fillId="0" borderId="97" xfId="2" applyFont="1" applyBorder="1" applyAlignment="1">
      <alignment horizontal="left" vertical="top" wrapText="1" indent="4"/>
    </xf>
    <xf numFmtId="8" fontId="23" fillId="0" borderId="102" xfId="2" applyNumberFormat="1" applyFont="1" applyBorder="1" applyAlignment="1">
      <alignment horizontal="center" vertical="center" wrapText="1"/>
    </xf>
    <xf numFmtId="14" fontId="10" fillId="0" borderId="77" xfId="0" applyNumberFormat="1" applyFont="1" applyBorder="1"/>
    <xf numFmtId="0" fontId="10" fillId="0" borderId="61" xfId="0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14" fontId="10" fillId="0" borderId="77" xfId="0" applyNumberFormat="1" applyFont="1" applyBorder="1" applyAlignment="1">
      <alignment horizontal="center" vertical="center"/>
    </xf>
    <xf numFmtId="0" fontId="16" fillId="11" borderId="77" xfId="0" applyFont="1" applyFill="1" applyBorder="1" applyAlignment="1">
      <alignment horizontal="center" vertical="center"/>
    </xf>
    <xf numFmtId="0" fontId="16" fillId="11" borderId="78" xfId="0" applyFont="1" applyFill="1" applyBorder="1" applyAlignment="1">
      <alignment horizontal="center" vertical="center"/>
    </xf>
    <xf numFmtId="14" fontId="17" fillId="0" borderId="77" xfId="0" applyNumberFormat="1" applyFont="1" applyBorder="1" applyAlignment="1">
      <alignment horizontal="center" vertical="center"/>
    </xf>
    <xf numFmtId="14" fontId="17" fillId="0" borderId="70" xfId="0" applyNumberFormat="1" applyFont="1" applyBorder="1" applyAlignment="1">
      <alignment horizontal="center" vertical="center"/>
    </xf>
    <xf numFmtId="0" fontId="19" fillId="0" borderId="71" xfId="0" applyFont="1" applyBorder="1" applyAlignment="1">
      <alignment horizontal="right" vertical="center"/>
    </xf>
    <xf numFmtId="8" fontId="19" fillId="0" borderId="72" xfId="0" applyNumberFormat="1" applyFont="1" applyBorder="1" applyAlignment="1">
      <alignment horizontal="center" vertical="center"/>
    </xf>
    <xf numFmtId="0" fontId="0" fillId="0" borderId="73" xfId="0" applyBorder="1"/>
    <xf numFmtId="0" fontId="9" fillId="0" borderId="61" xfId="0" applyFont="1" applyBorder="1" applyAlignment="1">
      <alignment horizontal="center" vertical="center"/>
    </xf>
    <xf numFmtId="0" fontId="9" fillId="0" borderId="78" xfId="0" applyFont="1" applyBorder="1" applyAlignment="1">
      <alignment horizontal="center" vertical="center"/>
    </xf>
    <xf numFmtId="0" fontId="9" fillId="0" borderId="90" xfId="0" applyFont="1" applyBorder="1" applyAlignment="1">
      <alignment horizontal="center" vertical="center"/>
    </xf>
    <xf numFmtId="0" fontId="21" fillId="10" borderId="104" xfId="0" applyFont="1" applyFill="1" applyBorder="1" applyAlignment="1">
      <alignment horizontal="center" vertical="center"/>
    </xf>
    <xf numFmtId="0" fontId="21" fillId="10" borderId="89" xfId="0" applyFont="1" applyFill="1" applyBorder="1" applyAlignment="1">
      <alignment horizontal="center" vertical="center"/>
    </xf>
    <xf numFmtId="0" fontId="21" fillId="10" borderId="105" xfId="0" applyFont="1" applyFill="1" applyBorder="1" applyAlignment="1">
      <alignment horizontal="center" vertical="center"/>
    </xf>
    <xf numFmtId="0" fontId="10" fillId="0" borderId="75" xfId="0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9" fillId="0" borderId="75" xfId="0" applyFont="1" applyBorder="1" applyAlignment="1">
      <alignment horizontal="center" vertical="center"/>
    </xf>
    <xf numFmtId="16" fontId="9" fillId="0" borderId="61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10" fillId="0" borderId="76" xfId="0" applyFont="1" applyBorder="1" applyAlignment="1">
      <alignment horizontal="center" vertical="center"/>
    </xf>
    <xf numFmtId="0" fontId="15" fillId="0" borderId="106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14" fontId="17" fillId="0" borderId="79" xfId="0" applyNumberFormat="1" applyFont="1" applyBorder="1" applyAlignment="1">
      <alignment horizontal="center" vertical="center"/>
    </xf>
    <xf numFmtId="0" fontId="17" fillId="0" borderId="62" xfId="0" applyFont="1" applyBorder="1"/>
    <xf numFmtId="8" fontId="17" fillId="0" borderId="107" xfId="0" applyNumberFormat="1" applyFont="1" applyBorder="1" applyAlignment="1">
      <alignment horizontal="center" vertical="center"/>
    </xf>
    <xf numFmtId="8" fontId="16" fillId="0" borderId="82" xfId="0" applyNumberFormat="1" applyFont="1" applyBorder="1"/>
    <xf numFmtId="0" fontId="16" fillId="0" borderId="83" xfId="0" applyFont="1" applyBorder="1"/>
    <xf numFmtId="0" fontId="16" fillId="11" borderId="62" xfId="0" applyFont="1" applyFill="1" applyBorder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14" fontId="17" fillId="0" borderId="81" xfId="0" applyNumberFormat="1" applyFont="1" applyBorder="1" applyAlignment="1">
      <alignment horizontal="center" vertical="center"/>
    </xf>
    <xf numFmtId="8" fontId="0" fillId="0" borderId="66" xfId="0" applyNumberFormat="1" applyBorder="1"/>
    <xf numFmtId="0" fontId="16" fillId="11" borderId="79" xfId="0" applyFont="1" applyFill="1" applyBorder="1" applyAlignment="1">
      <alignment horizontal="center" vertical="center"/>
    </xf>
    <xf numFmtId="0" fontId="16" fillId="11" borderId="107" xfId="0" applyFont="1" applyFill="1" applyBorder="1" applyAlignment="1">
      <alignment horizontal="center" vertical="center"/>
    </xf>
    <xf numFmtId="0" fontId="16" fillId="11" borderId="80" xfId="0" applyFont="1" applyFill="1" applyBorder="1" applyAlignment="1">
      <alignment horizontal="center" vertical="center"/>
    </xf>
    <xf numFmtId="14" fontId="17" fillId="0" borderId="74" xfId="0" applyNumberFormat="1" applyFont="1" applyBorder="1" applyAlignment="1">
      <alignment horizontal="center" vertical="center"/>
    </xf>
    <xf numFmtId="0" fontId="0" fillId="0" borderId="71" xfId="0" applyBorder="1"/>
    <xf numFmtId="164" fontId="0" fillId="0" borderId="82" xfId="0" applyNumberFormat="1" applyBorder="1" applyAlignment="1">
      <alignment horizontal="center" vertical="center"/>
    </xf>
    <xf numFmtId="0" fontId="16" fillId="0" borderId="82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14" fontId="0" fillId="0" borderId="61" xfId="0" applyNumberFormat="1" applyBorder="1"/>
    <xf numFmtId="14" fontId="0" fillId="0" borderId="64" xfId="0" applyNumberFormat="1" applyBorder="1"/>
    <xf numFmtId="0" fontId="7" fillId="0" borderId="64" xfId="0" applyFont="1" applyBorder="1" applyAlignment="1">
      <alignment horizontal="center" vertical="center"/>
    </xf>
    <xf numFmtId="14" fontId="0" fillId="0" borderId="62" xfId="0" applyNumberFormat="1" applyBorder="1"/>
    <xf numFmtId="0" fontId="6" fillId="0" borderId="62" xfId="0" applyFont="1" applyBorder="1" applyAlignment="1">
      <alignment horizontal="center" vertical="center"/>
    </xf>
    <xf numFmtId="0" fontId="6" fillId="0" borderId="76" xfId="0" applyFont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44" fontId="0" fillId="0" borderId="61" xfId="0" applyNumberFormat="1" applyBorder="1"/>
    <xf numFmtId="0" fontId="16" fillId="8" borderId="104" xfId="0" applyFont="1" applyFill="1" applyBorder="1" applyAlignment="1">
      <alignment horizontal="center" vertical="center"/>
    </xf>
    <xf numFmtId="0" fontId="16" fillId="8" borderId="89" xfId="0" applyFont="1" applyFill="1" applyBorder="1" applyAlignment="1">
      <alignment horizontal="center" vertical="center"/>
    </xf>
    <xf numFmtId="0" fontId="16" fillId="8" borderId="105" xfId="0" applyFont="1" applyFill="1" applyBorder="1" applyAlignment="1">
      <alignment horizontal="center" vertical="center"/>
    </xf>
    <xf numFmtId="0" fontId="5" fillId="0" borderId="61" xfId="0" applyFont="1" applyBorder="1"/>
    <xf numFmtId="44" fontId="0" fillId="0" borderId="61" xfId="0" applyNumberFormat="1" applyBorder="1" applyAlignment="1">
      <alignment horizontal="center" vertical="center"/>
    </xf>
    <xf numFmtId="0" fontId="5" fillId="0" borderId="74" xfId="0" applyFont="1" applyBorder="1"/>
    <xf numFmtId="44" fontId="0" fillId="0" borderId="75" xfId="0" applyNumberFormat="1" applyBorder="1" applyAlignment="1">
      <alignment horizontal="center" vertical="center"/>
    </xf>
    <xf numFmtId="0" fontId="5" fillId="0" borderId="77" xfId="0" applyFont="1" applyBorder="1"/>
    <xf numFmtId="0" fontId="0" fillId="0" borderId="77" xfId="0" applyBorder="1"/>
    <xf numFmtId="44" fontId="0" fillId="0" borderId="78" xfId="0" applyNumberFormat="1" applyBorder="1"/>
    <xf numFmtId="44" fontId="0" fillId="0" borderId="76" xfId="0" applyNumberFormat="1" applyBorder="1"/>
    <xf numFmtId="44" fontId="0" fillId="0" borderId="62" xfId="0" applyNumberFormat="1" applyBorder="1"/>
    <xf numFmtId="0" fontId="5" fillId="0" borderId="79" xfId="0" applyFont="1" applyBorder="1"/>
    <xf numFmtId="0" fontId="16" fillId="0" borderId="81" xfId="0" applyFont="1" applyBorder="1"/>
    <xf numFmtId="44" fontId="16" fillId="0" borderId="82" xfId="0" applyNumberFormat="1" applyFont="1" applyBorder="1"/>
    <xf numFmtId="44" fontId="16" fillId="0" borderId="83" xfId="0" applyNumberFormat="1" applyFont="1" applyBorder="1"/>
    <xf numFmtId="0" fontId="5" fillId="0" borderId="80" xfId="0" applyFont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14" fontId="0" fillId="0" borderId="86" xfId="0" applyNumberFormat="1" applyBorder="1"/>
    <xf numFmtId="164" fontId="0" fillId="0" borderId="87" xfId="0" applyNumberForma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/>
    </xf>
    <xf numFmtId="0" fontId="9" fillId="0" borderId="61" xfId="0" applyFont="1" applyBorder="1" applyAlignment="1">
      <alignment horizontal="center"/>
    </xf>
    <xf numFmtId="0" fontId="5" fillId="0" borderId="75" xfId="0" applyFont="1" applyBorder="1" applyAlignment="1">
      <alignment horizontal="center"/>
    </xf>
    <xf numFmtId="0" fontId="0" fillId="0" borderId="87" xfId="0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78" xfId="0" applyBorder="1" applyAlignment="1">
      <alignment horizontal="center"/>
    </xf>
    <xf numFmtId="14" fontId="0" fillId="0" borderId="86" xfId="0" applyNumberFormat="1" applyBorder="1" applyAlignment="1">
      <alignment horizontal="center" vertical="center"/>
    </xf>
    <xf numFmtId="0" fontId="5" fillId="0" borderId="62" xfId="0" applyFont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80" xfId="0" applyBorder="1" applyAlignment="1">
      <alignment horizontal="center"/>
    </xf>
    <xf numFmtId="164" fontId="15" fillId="0" borderId="75" xfId="0" applyNumberFormat="1" applyFont="1" applyBorder="1" applyAlignment="1">
      <alignment horizontal="center" vertical="center"/>
    </xf>
    <xf numFmtId="0" fontId="15" fillId="0" borderId="76" xfId="0" applyFont="1" applyBorder="1" applyAlignment="1">
      <alignment horizontal="center" vertical="center"/>
    </xf>
    <xf numFmtId="164" fontId="15" fillId="0" borderId="62" xfId="0" applyNumberFormat="1" applyFont="1" applyBorder="1" applyAlignment="1">
      <alignment horizontal="center" vertical="center"/>
    </xf>
    <xf numFmtId="0" fontId="15" fillId="0" borderId="80" xfId="0" applyFont="1" applyBorder="1" applyAlignment="1">
      <alignment horizontal="center" vertical="center"/>
    </xf>
    <xf numFmtId="14" fontId="15" fillId="0" borderId="77" xfId="0" applyNumberFormat="1" applyFont="1" applyBorder="1" applyAlignment="1">
      <alignment horizontal="center" vertical="center"/>
    </xf>
    <xf numFmtId="0" fontId="15" fillId="0" borderId="61" xfId="0" applyFont="1" applyBorder="1"/>
    <xf numFmtId="0" fontId="5" fillId="0" borderId="80" xfId="0" applyFont="1" applyBorder="1"/>
    <xf numFmtId="8" fontId="16" fillId="0" borderId="66" xfId="0" applyNumberFormat="1" applyFont="1" applyBorder="1"/>
    <xf numFmtId="14" fontId="17" fillId="0" borderId="94" xfId="0" applyNumberFormat="1" applyFont="1" applyBorder="1" applyAlignment="1">
      <alignment horizontal="center" vertical="center"/>
    </xf>
    <xf numFmtId="0" fontId="17" fillId="0" borderId="64" xfId="0" applyFont="1" applyBorder="1"/>
    <xf numFmtId="8" fontId="17" fillId="0" borderId="108" xfId="0" applyNumberFormat="1" applyFont="1" applyBorder="1" applyAlignment="1">
      <alignment horizontal="center" vertical="center"/>
    </xf>
    <xf numFmtId="0" fontId="0" fillId="0" borderId="90" xfId="0" applyBorder="1"/>
    <xf numFmtId="0" fontId="16" fillId="11" borderId="81" xfId="0" applyFont="1" applyFill="1" applyBorder="1" applyAlignment="1">
      <alignment horizontal="center" vertical="center"/>
    </xf>
    <xf numFmtId="0" fontId="16" fillId="11" borderId="82" xfId="0" applyFont="1" applyFill="1" applyBorder="1" applyAlignment="1">
      <alignment horizontal="center" vertical="center"/>
    </xf>
    <xf numFmtId="0" fontId="16" fillId="11" borderId="110" xfId="0" applyFont="1" applyFill="1" applyBorder="1" applyAlignment="1">
      <alignment horizontal="center" vertical="center"/>
    </xf>
    <xf numFmtId="0" fontId="16" fillId="11" borderId="83" xfId="0" applyFont="1" applyFill="1" applyBorder="1" applyAlignment="1">
      <alignment horizontal="center" vertical="center"/>
    </xf>
    <xf numFmtId="0" fontId="5" fillId="0" borderId="75" xfId="0" applyFont="1" applyBorder="1"/>
    <xf numFmtId="0" fontId="5" fillId="0" borderId="62" xfId="0" applyFont="1" applyBorder="1"/>
    <xf numFmtId="0" fontId="5" fillId="0" borderId="87" xfId="0" applyFont="1" applyBorder="1" applyAlignment="1">
      <alignment horizontal="center"/>
    </xf>
    <xf numFmtId="0" fontId="16" fillId="0" borderId="66" xfId="0" applyFont="1" applyBorder="1" applyAlignment="1">
      <alignment horizontal="center" vertical="center"/>
    </xf>
    <xf numFmtId="0" fontId="4" fillId="0" borderId="77" xfId="0" applyFont="1" applyBorder="1"/>
    <xf numFmtId="0" fontId="3" fillId="0" borderId="61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14" fontId="0" fillId="0" borderId="95" xfId="0" applyNumberFormat="1" applyBorder="1"/>
    <xf numFmtId="0" fontId="0" fillId="0" borderId="82" xfId="0" applyBorder="1" applyAlignment="1">
      <alignment horizontal="center" vertical="center"/>
    </xf>
    <xf numFmtId="14" fontId="0" fillId="0" borderId="67" xfId="0" applyNumberFormat="1" applyBorder="1"/>
    <xf numFmtId="0" fontId="2" fillId="0" borderId="88" xfId="0" applyFont="1" applyBorder="1" applyAlignment="1">
      <alignment horizontal="center" vertical="center"/>
    </xf>
    <xf numFmtId="0" fontId="2" fillId="0" borderId="83" xfId="0" applyFont="1" applyBorder="1" applyAlignment="1">
      <alignment horizontal="center" vertical="center"/>
    </xf>
    <xf numFmtId="14" fontId="0" fillId="0" borderId="67" xfId="0" applyNumberForma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16" fillId="11" borderId="86" xfId="0" applyFont="1" applyFill="1" applyBorder="1" applyAlignment="1">
      <alignment horizontal="center" vertical="center"/>
    </xf>
    <xf numFmtId="0" fontId="16" fillId="11" borderId="87" xfId="0" applyFont="1" applyFill="1" applyBorder="1" applyAlignment="1">
      <alignment horizontal="center" vertical="center"/>
    </xf>
    <xf numFmtId="0" fontId="16" fillId="11" borderId="111" xfId="0" applyFont="1" applyFill="1" applyBorder="1" applyAlignment="1">
      <alignment horizontal="center" vertical="center"/>
    </xf>
    <xf numFmtId="0" fontId="16" fillId="11" borderId="88" xfId="0" applyFont="1" applyFill="1" applyBorder="1" applyAlignment="1">
      <alignment horizontal="center" vertical="center"/>
    </xf>
    <xf numFmtId="0" fontId="2" fillId="0" borderId="80" xfId="0" applyFont="1" applyBorder="1"/>
    <xf numFmtId="0" fontId="16" fillId="0" borderId="82" xfId="0" applyFont="1" applyBorder="1"/>
    <xf numFmtId="164" fontId="16" fillId="0" borderId="82" xfId="0" applyNumberFormat="1" applyFont="1" applyBorder="1"/>
    <xf numFmtId="0" fontId="1" fillId="0" borderId="61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4" fontId="0" fillId="0" borderId="81" xfId="0" applyNumberFormat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14" fontId="0" fillId="0" borderId="104" xfId="0" applyNumberForma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164" fontId="0" fillId="0" borderId="0" xfId="0" applyNumberFormat="1"/>
    <xf numFmtId="164" fontId="0" fillId="0" borderId="81" xfId="0" applyNumberFormat="1" applyBorder="1" applyAlignment="1">
      <alignment horizontal="center" vertical="center"/>
    </xf>
    <xf numFmtId="164" fontId="0" fillId="0" borderId="83" xfId="0" applyNumberFormat="1" applyBorder="1" applyAlignment="1">
      <alignment horizontal="center" vertical="center"/>
    </xf>
    <xf numFmtId="8" fontId="17" fillId="0" borderId="61" xfId="0" applyNumberFormat="1" applyFont="1" applyBorder="1" applyAlignment="1">
      <alignment horizontal="center" vertical="center"/>
    </xf>
    <xf numFmtId="8" fontId="17" fillId="0" borderId="62" xfId="0" applyNumberFormat="1" applyFont="1" applyBorder="1" applyAlignment="1">
      <alignment horizontal="center" vertical="center"/>
    </xf>
    <xf numFmtId="164" fontId="16" fillId="0" borderId="61" xfId="0" applyNumberFormat="1" applyFont="1" applyBorder="1"/>
    <xf numFmtId="0" fontId="0" fillId="0" borderId="64" xfId="0" applyBorder="1"/>
    <xf numFmtId="0" fontId="0" fillId="0" borderId="108" xfId="0" applyBorder="1"/>
    <xf numFmtId="164" fontId="16" fillId="0" borderId="100" xfId="0" applyNumberFormat="1" applyFont="1" applyBorder="1" applyAlignment="1">
      <alignment horizontal="center" vertical="center"/>
    </xf>
    <xf numFmtId="0" fontId="0" fillId="0" borderId="112" xfId="0" applyBorder="1"/>
    <xf numFmtId="0" fontId="16" fillId="0" borderId="62" xfId="0" applyFont="1" applyBorder="1"/>
    <xf numFmtId="0" fontId="16" fillId="0" borderId="66" xfId="0" applyFont="1" applyBorder="1"/>
    <xf numFmtId="0" fontId="16" fillId="8" borderId="61" xfId="0" applyFont="1" applyFill="1" applyBorder="1" applyAlignment="1">
      <alignment horizontal="center" vertical="center"/>
    </xf>
    <xf numFmtId="0" fontId="14" fillId="5" borderId="52" xfId="0" applyFont="1" applyFill="1" applyBorder="1" applyAlignment="1">
      <alignment horizontal="center" vertical="center"/>
    </xf>
    <xf numFmtId="0" fontId="13" fillId="0" borderId="53" xfId="0" applyFont="1" applyBorder="1"/>
    <xf numFmtId="0" fontId="13" fillId="0" borderId="54" xfId="0" applyFont="1" applyBorder="1"/>
    <xf numFmtId="14" fontId="15" fillId="0" borderId="19" xfId="0" applyNumberFormat="1" applyFont="1" applyBorder="1" applyAlignment="1">
      <alignment horizontal="center" vertical="center"/>
    </xf>
    <xf numFmtId="0" fontId="13" fillId="0" borderId="22" xfId="0" applyFont="1" applyBorder="1"/>
    <xf numFmtId="14" fontId="0" fillId="0" borderId="61" xfId="0" applyNumberFormat="1" applyBorder="1" applyAlignment="1">
      <alignment horizontal="center" vertical="center"/>
    </xf>
    <xf numFmtId="0" fontId="24" fillId="18" borderId="56" xfId="2" applyFont="1" applyFill="1" applyBorder="1" applyAlignment="1">
      <alignment horizontal="center" vertical="top" wrapText="1"/>
    </xf>
    <xf numFmtId="0" fontId="24" fillId="18" borderId="99" xfId="2" applyFont="1" applyFill="1" applyBorder="1" applyAlignment="1">
      <alignment horizontal="center" vertical="top" wrapText="1"/>
    </xf>
    <xf numFmtId="0" fontId="24" fillId="18" borderId="55" xfId="2" applyFont="1" applyFill="1" applyBorder="1" applyAlignment="1">
      <alignment horizontal="center" vertical="top" wrapText="1"/>
    </xf>
    <xf numFmtId="166" fontId="28" fillId="0" borderId="23" xfId="2" applyNumberFormat="1" applyFont="1" applyBorder="1" applyAlignment="1">
      <alignment horizontal="left" vertical="top" shrinkToFit="1"/>
    </xf>
    <xf numFmtId="166" fontId="28" fillId="0" borderId="22" xfId="2" applyNumberFormat="1" applyFont="1" applyBorder="1" applyAlignment="1">
      <alignment horizontal="left" vertical="top" shrinkToFit="1"/>
    </xf>
    <xf numFmtId="0" fontId="20" fillId="12" borderId="84" xfId="0" applyFont="1" applyFill="1" applyBorder="1" applyAlignment="1">
      <alignment horizontal="center" vertical="center"/>
    </xf>
    <xf numFmtId="0" fontId="20" fillId="12" borderId="85" xfId="0" applyFont="1" applyFill="1" applyBorder="1" applyAlignment="1">
      <alignment horizontal="center" vertical="center"/>
    </xf>
    <xf numFmtId="14" fontId="15" fillId="0" borderId="11" xfId="0" applyNumberFormat="1" applyFont="1" applyBorder="1" applyAlignment="1">
      <alignment horizontal="center" vertical="center"/>
    </xf>
    <xf numFmtId="0" fontId="13" fillId="0" borderId="17" xfId="0" applyFont="1" applyBorder="1"/>
    <xf numFmtId="0" fontId="13" fillId="0" borderId="13" xfId="0" applyFont="1" applyBorder="1"/>
    <xf numFmtId="0" fontId="13" fillId="0" borderId="25" xfId="0" applyFont="1" applyBorder="1"/>
    <xf numFmtId="0" fontId="14" fillId="0" borderId="1" xfId="0" applyFont="1" applyBorder="1" applyAlignment="1">
      <alignment horizontal="center" vertical="center"/>
    </xf>
    <xf numFmtId="0" fontId="13" fillId="0" borderId="26" xfId="0" applyFont="1" applyBorder="1"/>
    <xf numFmtId="0" fontId="12" fillId="2" borderId="1" xfId="0" applyFont="1" applyFill="1" applyBorder="1" applyAlignment="1">
      <alignment horizontal="center" vertical="center"/>
    </xf>
    <xf numFmtId="0" fontId="13" fillId="0" borderId="2" xfId="0" applyFont="1" applyBorder="1"/>
    <xf numFmtId="0" fontId="13" fillId="0" borderId="3" xfId="0" applyFont="1" applyBorder="1"/>
    <xf numFmtId="0" fontId="14" fillId="0" borderId="1" xfId="0" applyFont="1" applyBorder="1" applyAlignment="1">
      <alignment horizontal="center"/>
    </xf>
    <xf numFmtId="14" fontId="15" fillId="0" borderId="23" xfId="0" applyNumberFormat="1" applyFont="1" applyBorder="1" applyAlignment="1">
      <alignment horizontal="center" vertical="center"/>
    </xf>
    <xf numFmtId="0" fontId="13" fillId="0" borderId="32" xfId="0" applyFont="1" applyBorder="1"/>
    <xf numFmtId="0" fontId="14" fillId="0" borderId="95" xfId="0" applyFont="1" applyBorder="1" applyAlignment="1">
      <alignment horizontal="center"/>
    </xf>
    <xf numFmtId="0" fontId="13" fillId="0" borderId="96" xfId="0" applyFont="1" applyBorder="1"/>
    <xf numFmtId="14" fontId="15" fillId="0" borderId="11" xfId="0" applyNumberFormat="1" applyFont="1" applyBorder="1" applyAlignment="1">
      <alignment vertical="center"/>
    </xf>
    <xf numFmtId="14" fontId="14" fillId="0" borderId="1" xfId="0" applyNumberFormat="1" applyFont="1" applyBorder="1" applyAlignment="1">
      <alignment horizontal="center" vertical="center"/>
    </xf>
    <xf numFmtId="0" fontId="16" fillId="0" borderId="81" xfId="0" applyFont="1" applyBorder="1" applyAlignment="1">
      <alignment horizontal="center" vertical="center"/>
    </xf>
    <xf numFmtId="0" fontId="16" fillId="0" borderId="82" xfId="0" applyFont="1" applyBorder="1" applyAlignment="1">
      <alignment horizontal="center" vertical="center"/>
    </xf>
    <xf numFmtId="0" fontId="16" fillId="0" borderId="95" xfId="0" applyFont="1" applyBorder="1" applyAlignment="1">
      <alignment horizontal="center" vertical="center"/>
    </xf>
    <xf numFmtId="0" fontId="16" fillId="0" borderId="103" xfId="0" applyFont="1" applyBorder="1" applyAlignment="1">
      <alignment horizontal="center" vertical="center"/>
    </xf>
    <xf numFmtId="0" fontId="16" fillId="0" borderId="64" xfId="0" applyFont="1" applyBorder="1" applyAlignment="1">
      <alignment horizontal="center" vertical="center"/>
    </xf>
    <xf numFmtId="0" fontId="16" fillId="13" borderId="81" xfId="0" applyFont="1" applyFill="1" applyBorder="1" applyAlignment="1">
      <alignment horizontal="center" vertical="center"/>
    </xf>
    <xf numFmtId="0" fontId="16" fillId="13" borderId="82" xfId="0" applyFont="1" applyFill="1" applyBorder="1" applyAlignment="1">
      <alignment horizontal="center" vertical="center"/>
    </xf>
    <xf numFmtId="0" fontId="16" fillId="13" borderId="83" xfId="0" applyFont="1" applyFill="1" applyBorder="1" applyAlignment="1">
      <alignment horizontal="center" vertical="center"/>
    </xf>
    <xf numFmtId="0" fontId="16" fillId="0" borderId="109" xfId="0" applyFont="1" applyBorder="1" applyAlignment="1">
      <alignment horizontal="center" vertical="center"/>
    </xf>
    <xf numFmtId="0" fontId="16" fillId="10" borderId="74" xfId="0" applyFont="1" applyFill="1" applyBorder="1" applyAlignment="1">
      <alignment horizontal="center"/>
    </xf>
    <xf numFmtId="0" fontId="16" fillId="10" borderId="75" xfId="0" applyFont="1" applyFill="1" applyBorder="1" applyAlignment="1">
      <alignment horizontal="center"/>
    </xf>
    <xf numFmtId="0" fontId="16" fillId="10" borderId="76" xfId="0" applyFont="1" applyFill="1" applyBorder="1" applyAlignment="1">
      <alignment horizontal="center"/>
    </xf>
    <xf numFmtId="0" fontId="16" fillId="0" borderId="81" xfId="0" applyFont="1" applyBorder="1"/>
    <xf numFmtId="0" fontId="16" fillId="0" borderId="82" xfId="0" applyFont="1" applyBorder="1"/>
    <xf numFmtId="0" fontId="16" fillId="10" borderId="67" xfId="0" applyFont="1" applyFill="1" applyBorder="1" applyAlignment="1">
      <alignment horizontal="center"/>
    </xf>
    <xf numFmtId="0" fontId="16" fillId="10" borderId="68" xfId="0" applyFont="1" applyFill="1" applyBorder="1" applyAlignment="1">
      <alignment horizontal="center"/>
    </xf>
    <xf numFmtId="0" fontId="16" fillId="10" borderId="69" xfId="0" applyFont="1" applyFill="1" applyBorder="1" applyAlignment="1">
      <alignment horizontal="center"/>
    </xf>
    <xf numFmtId="0" fontId="16" fillId="0" borderId="65" xfId="0" applyFont="1" applyBorder="1"/>
    <xf numFmtId="0" fontId="16" fillId="0" borderId="63" xfId="0" applyFont="1" applyBorder="1"/>
    <xf numFmtId="0" fontId="16" fillId="10" borderId="95" xfId="0" applyFont="1" applyFill="1" applyBorder="1" applyAlignment="1">
      <alignment horizontal="center"/>
    </xf>
    <xf numFmtId="0" fontId="16" fillId="10" borderId="109" xfId="0" applyFont="1" applyFill="1" applyBorder="1" applyAlignment="1">
      <alignment horizontal="center"/>
    </xf>
    <xf numFmtId="0" fontId="16" fillId="10" borderId="98" xfId="0" applyFont="1" applyFill="1" applyBorder="1" applyAlignment="1">
      <alignment horizontal="center"/>
    </xf>
    <xf numFmtId="0" fontId="16" fillId="0" borderId="95" xfId="0" applyFont="1" applyBorder="1"/>
    <xf numFmtId="0" fontId="16" fillId="0" borderId="103" xfId="0" applyFont="1" applyBorder="1"/>
    <xf numFmtId="0" fontId="16" fillId="0" borderId="81" xfId="0" applyFont="1" applyBorder="1" applyAlignment="1">
      <alignment horizontal="right" vertical="center"/>
    </xf>
    <xf numFmtId="0" fontId="16" fillId="0" borderId="82" xfId="0" applyFont="1" applyBorder="1" applyAlignment="1">
      <alignment horizontal="right" vertical="center"/>
    </xf>
    <xf numFmtId="0" fontId="16" fillId="0" borderId="95" xfId="0" applyFont="1" applyBorder="1" applyAlignment="1">
      <alignment horizontal="right" vertical="center"/>
    </xf>
    <xf numFmtId="0" fontId="16" fillId="0" borderId="98" xfId="0" applyFont="1" applyBorder="1" applyAlignment="1">
      <alignment horizontal="right" vertical="center"/>
    </xf>
    <xf numFmtId="0" fontId="16" fillId="0" borderId="98" xfId="0" applyFont="1" applyBorder="1" applyAlignment="1">
      <alignment horizontal="center" vertical="center"/>
    </xf>
    <xf numFmtId="14" fontId="14" fillId="0" borderId="95" xfId="0" applyNumberFormat="1" applyFont="1" applyBorder="1" applyAlignment="1">
      <alignment horizontal="center" vertical="center"/>
    </xf>
    <xf numFmtId="14" fontId="14" fillId="0" borderId="103" xfId="0" applyNumberFormat="1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4" fontId="15" fillId="0" borderId="33" xfId="0" applyNumberFormat="1" applyFont="1" applyBorder="1" applyAlignment="1">
      <alignment horizontal="center" vertical="center"/>
    </xf>
    <xf numFmtId="0" fontId="14" fillId="6" borderId="37" xfId="0" applyFont="1" applyFill="1" applyBorder="1" applyAlignment="1">
      <alignment horizontal="center" vertical="center"/>
    </xf>
    <xf numFmtId="0" fontId="13" fillId="0" borderId="38" xfId="0" applyFont="1" applyBorder="1"/>
    <xf numFmtId="0" fontId="13" fillId="0" borderId="39" xfId="0" applyFont="1" applyBorder="1"/>
    <xf numFmtId="0" fontId="13" fillId="0" borderId="21" xfId="0" applyFont="1" applyBorder="1"/>
    <xf numFmtId="166" fontId="28" fillId="0" borderId="61" xfId="1" applyNumberFormat="1" applyFont="1" applyBorder="1" applyAlignment="1">
      <alignment horizontal="left" vertical="top" shrinkToFit="1"/>
    </xf>
    <xf numFmtId="0" fontId="24" fillId="0" borderId="81" xfId="1" applyFont="1" applyBorder="1" applyAlignment="1">
      <alignment horizontal="center" vertical="top" wrapText="1"/>
    </xf>
    <xf numFmtId="0" fontId="24" fillId="0" borderId="82" xfId="1" applyFont="1" applyBorder="1" applyAlignment="1">
      <alignment horizontal="center" vertical="top" wrapText="1"/>
    </xf>
    <xf numFmtId="0" fontId="24" fillId="14" borderId="56" xfId="1" applyFont="1" applyFill="1" applyBorder="1" applyAlignment="1">
      <alignment horizontal="center" vertical="top" wrapText="1"/>
    </xf>
    <xf numFmtId="0" fontId="24" fillId="14" borderId="99" xfId="1" applyFont="1" applyFill="1" applyBorder="1" applyAlignment="1">
      <alignment horizontal="center" vertical="top" wrapText="1"/>
    </xf>
    <xf numFmtId="0" fontId="24" fillId="14" borderId="55" xfId="1" applyFont="1" applyFill="1" applyBorder="1" applyAlignment="1">
      <alignment horizontal="center" vertical="top" wrapText="1"/>
    </xf>
    <xf numFmtId="0" fontId="14" fillId="6" borderId="40" xfId="0" applyFont="1" applyFill="1" applyBorder="1" applyAlignment="1">
      <alignment horizontal="center" vertical="center"/>
    </xf>
    <xf numFmtId="0" fontId="13" fillId="0" borderId="41" xfId="0" applyFont="1" applyBorder="1"/>
    <xf numFmtId="0" fontId="13" fillId="0" borderId="42" xfId="0" applyFont="1" applyBorder="1"/>
    <xf numFmtId="0" fontId="24" fillId="16" borderId="56" xfId="1" applyFont="1" applyFill="1" applyBorder="1" applyAlignment="1">
      <alignment horizontal="center" vertical="top" wrapText="1"/>
    </xf>
    <xf numFmtId="0" fontId="24" fillId="16" borderId="99" xfId="1" applyFont="1" applyFill="1" applyBorder="1" applyAlignment="1">
      <alignment horizontal="center" vertical="top" wrapText="1"/>
    </xf>
    <xf numFmtId="0" fontId="24" fillId="16" borderId="55" xfId="1" applyFont="1" applyFill="1" applyBorder="1" applyAlignment="1">
      <alignment horizontal="center" vertical="top" wrapText="1"/>
    </xf>
    <xf numFmtId="0" fontId="15" fillId="0" borderId="19" xfId="0" applyFont="1" applyBorder="1" applyAlignment="1">
      <alignment horizontal="center" vertical="center"/>
    </xf>
    <xf numFmtId="0" fontId="16" fillId="8" borderId="81" xfId="0" applyFont="1" applyFill="1" applyBorder="1" applyAlignment="1">
      <alignment horizontal="center" vertical="center"/>
    </xf>
    <xf numFmtId="0" fontId="16" fillId="8" borderId="82" xfId="0" applyFont="1" applyFill="1" applyBorder="1" applyAlignment="1">
      <alignment horizontal="center" vertical="center"/>
    </xf>
    <xf numFmtId="0" fontId="16" fillId="8" borderId="83" xfId="0" applyFont="1" applyFill="1" applyBorder="1" applyAlignment="1">
      <alignment horizontal="center" vertical="center"/>
    </xf>
    <xf numFmtId="0" fontId="20" fillId="12" borderId="95" xfId="0" applyFont="1" applyFill="1" applyBorder="1" applyAlignment="1">
      <alignment horizontal="center" vertical="center"/>
    </xf>
    <xf numFmtId="0" fontId="20" fillId="12" borderId="109" xfId="0" applyFont="1" applyFill="1" applyBorder="1" applyAlignment="1">
      <alignment horizontal="center" vertical="center"/>
    </xf>
    <xf numFmtId="0" fontId="20" fillId="12" borderId="98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294"/>
  <sheetViews>
    <sheetView tabSelected="1" topLeftCell="A1232" zoomScaleNormal="100" workbookViewId="0">
      <selection activeCell="A1293" sqref="A1293"/>
    </sheetView>
  </sheetViews>
  <sheetFormatPr defaultColWidth="14.42578125" defaultRowHeight="15" customHeight="1" x14ac:dyDescent="0.25"/>
  <cols>
    <col min="1" max="1" width="10.42578125" customWidth="1"/>
    <col min="2" max="2" width="12" bestFit="1" customWidth="1"/>
    <col min="3" max="3" width="9.7109375" bestFit="1" customWidth="1"/>
    <col min="4" max="4" width="16.140625" bestFit="1" customWidth="1"/>
    <col min="5" max="5" width="8" bestFit="1" customWidth="1"/>
    <col min="6" max="6" width="7.85546875" bestFit="1" customWidth="1"/>
    <col min="7" max="7" width="27.140625" bestFit="1" customWidth="1"/>
    <col min="8" max="8" width="10.7109375" bestFit="1" customWidth="1"/>
    <col min="9" max="9" width="13.42578125" bestFit="1" customWidth="1"/>
    <col min="10" max="10" width="10.7109375" bestFit="1" customWidth="1"/>
    <col min="11" max="11" width="13.42578125" bestFit="1" customWidth="1"/>
    <col min="12" max="12" width="10.7109375" bestFit="1" customWidth="1"/>
    <col min="13" max="13" width="16.85546875" bestFit="1" customWidth="1"/>
    <col min="14" max="14" width="8.5703125" bestFit="1" customWidth="1"/>
    <col min="15" max="26" width="8.7109375" customWidth="1"/>
  </cols>
  <sheetData>
    <row r="1" spans="1:17" ht="32.25" x14ac:dyDescent="0.25">
      <c r="A1" s="463" t="s">
        <v>0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5"/>
    </row>
    <row r="2" spans="1:17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 t="s">
        <v>14</v>
      </c>
      <c r="P2" s="1" t="s">
        <v>15</v>
      </c>
      <c r="Q2" s="3" t="s">
        <v>16</v>
      </c>
    </row>
    <row r="3" spans="1:17" x14ac:dyDescent="0.25">
      <c r="A3" s="4">
        <v>45749</v>
      </c>
      <c r="B3" s="5" t="s">
        <v>17</v>
      </c>
      <c r="C3" s="5">
        <v>4.93</v>
      </c>
      <c r="D3" s="5">
        <v>2.88</v>
      </c>
      <c r="E3" s="5">
        <f t="shared" ref="E3:E83" si="0">C3-D3</f>
        <v>2.0499999999999998</v>
      </c>
      <c r="F3" s="5" t="s">
        <v>18</v>
      </c>
      <c r="G3" s="5" t="s">
        <v>19</v>
      </c>
      <c r="H3" s="6">
        <v>1200</v>
      </c>
      <c r="I3" s="6">
        <f t="shared" ref="I3:I83" si="1">H3*E3</f>
        <v>2460</v>
      </c>
      <c r="J3" s="6">
        <v>0</v>
      </c>
      <c r="K3" s="6">
        <f t="shared" ref="K3:K8" si="2">I3+J3</f>
        <v>2460</v>
      </c>
      <c r="L3" s="6">
        <v>0</v>
      </c>
      <c r="M3" s="6">
        <f t="shared" ref="M3:M29" si="3">K3-L3</f>
        <v>2460</v>
      </c>
      <c r="N3" s="7" t="s">
        <v>20</v>
      </c>
      <c r="P3" s="8" t="s">
        <v>21</v>
      </c>
      <c r="Q3" s="9">
        <v>139.59</v>
      </c>
    </row>
    <row r="4" spans="1:17" x14ac:dyDescent="0.25">
      <c r="A4" s="4">
        <v>45750</v>
      </c>
      <c r="B4" s="5" t="s">
        <v>22</v>
      </c>
      <c r="C4" s="5">
        <v>30.45</v>
      </c>
      <c r="D4" s="5">
        <v>9.84</v>
      </c>
      <c r="E4" s="5">
        <f t="shared" si="0"/>
        <v>20.61</v>
      </c>
      <c r="F4" s="5" t="s">
        <v>23</v>
      </c>
      <c r="G4" s="5" t="s">
        <v>24</v>
      </c>
      <c r="H4" s="6">
        <v>1350</v>
      </c>
      <c r="I4" s="6">
        <f t="shared" si="1"/>
        <v>27823.5</v>
      </c>
      <c r="J4" s="6">
        <v>2000</v>
      </c>
      <c r="K4" s="6">
        <f t="shared" si="2"/>
        <v>29823.5</v>
      </c>
      <c r="L4" s="6">
        <v>3.5</v>
      </c>
      <c r="M4" s="6">
        <f t="shared" si="3"/>
        <v>29820</v>
      </c>
      <c r="N4" s="7" t="s">
        <v>25</v>
      </c>
      <c r="P4" s="10" t="s">
        <v>26</v>
      </c>
      <c r="Q4" s="11">
        <v>278.37</v>
      </c>
    </row>
    <row r="5" spans="1:17" x14ac:dyDescent="0.25">
      <c r="A5" s="4">
        <v>45751</v>
      </c>
      <c r="B5" s="5" t="s">
        <v>27</v>
      </c>
      <c r="C5" s="5">
        <v>5.69</v>
      </c>
      <c r="D5" s="5">
        <v>2.93</v>
      </c>
      <c r="E5" s="5">
        <f t="shared" si="0"/>
        <v>2.7600000000000002</v>
      </c>
      <c r="F5" s="5" t="s">
        <v>18</v>
      </c>
      <c r="G5" s="5" t="s">
        <v>28</v>
      </c>
      <c r="H5" s="6">
        <v>1250</v>
      </c>
      <c r="I5" s="6">
        <f t="shared" si="1"/>
        <v>3450.0000000000005</v>
      </c>
      <c r="J5" s="6">
        <v>0</v>
      </c>
      <c r="K5" s="6">
        <f t="shared" si="2"/>
        <v>3450.0000000000005</v>
      </c>
      <c r="L5" s="6">
        <v>0</v>
      </c>
      <c r="M5" s="6">
        <f t="shared" si="3"/>
        <v>3450.0000000000005</v>
      </c>
      <c r="N5" s="7" t="s">
        <v>20</v>
      </c>
      <c r="P5" s="10" t="s">
        <v>29</v>
      </c>
      <c r="Q5" s="11">
        <v>0</v>
      </c>
    </row>
    <row r="6" spans="1:17" x14ac:dyDescent="0.25">
      <c r="A6" s="4">
        <v>45753</v>
      </c>
      <c r="B6" s="5" t="s">
        <v>30</v>
      </c>
      <c r="C6" s="5">
        <v>25.37</v>
      </c>
      <c r="D6" s="5">
        <v>9.7100000000000009</v>
      </c>
      <c r="E6" s="5">
        <f t="shared" si="0"/>
        <v>15.66</v>
      </c>
      <c r="F6" s="5" t="s">
        <v>23</v>
      </c>
      <c r="G6" s="5" t="s">
        <v>31</v>
      </c>
      <c r="H6" s="6">
        <v>1350</v>
      </c>
      <c r="I6" s="6">
        <f t="shared" si="1"/>
        <v>21141</v>
      </c>
      <c r="J6" s="6">
        <v>3500</v>
      </c>
      <c r="K6" s="6">
        <f t="shared" si="2"/>
        <v>24641</v>
      </c>
      <c r="L6" s="6">
        <v>1</v>
      </c>
      <c r="M6" s="6">
        <f t="shared" si="3"/>
        <v>24640</v>
      </c>
      <c r="N6" s="7" t="s">
        <v>25</v>
      </c>
      <c r="P6" s="10" t="s">
        <v>18</v>
      </c>
      <c r="Q6" s="11">
        <v>107.72</v>
      </c>
    </row>
    <row r="7" spans="1:17" x14ac:dyDescent="0.25">
      <c r="A7" s="457">
        <v>45754</v>
      </c>
      <c r="B7" s="12" t="s">
        <v>22</v>
      </c>
      <c r="C7" s="12">
        <v>19.75</v>
      </c>
      <c r="D7" s="12">
        <v>9.82</v>
      </c>
      <c r="E7" s="12">
        <f t="shared" si="0"/>
        <v>9.93</v>
      </c>
      <c r="F7" s="12" t="s">
        <v>18</v>
      </c>
      <c r="G7" s="12" t="s">
        <v>32</v>
      </c>
      <c r="H7" s="13">
        <v>1200</v>
      </c>
      <c r="I7" s="13">
        <f t="shared" si="1"/>
        <v>11916</v>
      </c>
      <c r="J7" s="13">
        <v>2000</v>
      </c>
      <c r="K7" s="13">
        <f t="shared" si="2"/>
        <v>13916</v>
      </c>
      <c r="L7" s="13">
        <v>16</v>
      </c>
      <c r="M7" s="13">
        <f t="shared" si="3"/>
        <v>13900</v>
      </c>
      <c r="N7" s="14" t="s">
        <v>25</v>
      </c>
      <c r="P7" s="10" t="s">
        <v>23</v>
      </c>
      <c r="Q7" s="11">
        <v>490.2</v>
      </c>
    </row>
    <row r="8" spans="1:17" x14ac:dyDescent="0.25">
      <c r="A8" s="459"/>
      <c r="B8" s="15" t="s">
        <v>30</v>
      </c>
      <c r="C8" s="15">
        <v>30.63</v>
      </c>
      <c r="D8" s="15">
        <v>9.69</v>
      </c>
      <c r="E8" s="15">
        <f t="shared" si="0"/>
        <v>20.939999999999998</v>
      </c>
      <c r="F8" s="15" t="s">
        <v>23</v>
      </c>
      <c r="G8" s="15" t="s">
        <v>33</v>
      </c>
      <c r="H8" s="16">
        <v>1350</v>
      </c>
      <c r="I8" s="16">
        <f t="shared" si="1"/>
        <v>28268.999999999996</v>
      </c>
      <c r="J8" s="16">
        <v>0</v>
      </c>
      <c r="K8" s="16">
        <f t="shared" si="2"/>
        <v>28268.999999999996</v>
      </c>
      <c r="L8" s="16">
        <v>0</v>
      </c>
      <c r="M8" s="16">
        <f t="shared" si="3"/>
        <v>28268.999999999996</v>
      </c>
      <c r="N8" s="17" t="s">
        <v>34</v>
      </c>
      <c r="P8" s="18" t="s">
        <v>35</v>
      </c>
      <c r="Q8" s="19">
        <v>263.7</v>
      </c>
    </row>
    <row r="9" spans="1:17" x14ac:dyDescent="0.25">
      <c r="A9" s="20">
        <v>45756</v>
      </c>
      <c r="B9" s="5" t="s">
        <v>36</v>
      </c>
      <c r="C9" s="5">
        <v>3.58</v>
      </c>
      <c r="D9" s="5">
        <v>2.0099999999999998</v>
      </c>
      <c r="E9" s="5">
        <f t="shared" si="0"/>
        <v>1.5700000000000003</v>
      </c>
      <c r="F9" s="5" t="s">
        <v>18</v>
      </c>
      <c r="G9" s="5" t="s">
        <v>37</v>
      </c>
      <c r="H9" s="6">
        <v>1200</v>
      </c>
      <c r="I9" s="6">
        <f t="shared" si="1"/>
        <v>1884.0000000000005</v>
      </c>
      <c r="J9" s="6">
        <v>0</v>
      </c>
      <c r="K9" s="6">
        <v>1890</v>
      </c>
      <c r="L9" s="6">
        <v>0</v>
      </c>
      <c r="M9" s="6">
        <f t="shared" si="3"/>
        <v>1890</v>
      </c>
      <c r="N9" s="7" t="s">
        <v>25</v>
      </c>
    </row>
    <row r="10" spans="1:17" x14ac:dyDescent="0.25">
      <c r="A10" s="471">
        <v>45757</v>
      </c>
      <c r="B10" s="12" t="s">
        <v>30</v>
      </c>
      <c r="C10" s="12">
        <v>27.35</v>
      </c>
      <c r="D10" s="12">
        <v>9.6999999999999993</v>
      </c>
      <c r="E10" s="12">
        <f t="shared" si="0"/>
        <v>17.650000000000002</v>
      </c>
      <c r="F10" s="12" t="s">
        <v>38</v>
      </c>
      <c r="G10" s="12" t="s">
        <v>39</v>
      </c>
      <c r="H10" s="13">
        <v>500</v>
      </c>
      <c r="I10" s="13">
        <f t="shared" si="1"/>
        <v>8825.0000000000018</v>
      </c>
      <c r="J10" s="13">
        <v>1000</v>
      </c>
      <c r="K10" s="13">
        <f t="shared" ref="K10:K83" si="4">I10+J10</f>
        <v>9825.0000000000018</v>
      </c>
      <c r="L10" s="13">
        <v>25</v>
      </c>
      <c r="M10" s="13">
        <f t="shared" si="3"/>
        <v>9800.0000000000018</v>
      </c>
      <c r="N10" s="14" t="s">
        <v>25</v>
      </c>
    </row>
    <row r="11" spans="1:17" x14ac:dyDescent="0.25">
      <c r="A11" s="458"/>
      <c r="B11" s="22" t="s">
        <v>40</v>
      </c>
      <c r="C11" s="22">
        <v>6.94</v>
      </c>
      <c r="D11" s="22">
        <v>3.16</v>
      </c>
      <c r="E11" s="22">
        <f t="shared" si="0"/>
        <v>3.7800000000000002</v>
      </c>
      <c r="F11" s="22" t="s">
        <v>23</v>
      </c>
      <c r="G11" s="22" t="s">
        <v>41</v>
      </c>
      <c r="H11" s="23">
        <v>1350</v>
      </c>
      <c r="I11" s="23">
        <f t="shared" si="1"/>
        <v>5103</v>
      </c>
      <c r="J11" s="23">
        <v>0</v>
      </c>
      <c r="K11" s="23">
        <f t="shared" si="4"/>
        <v>5103</v>
      </c>
      <c r="L11" s="23">
        <v>3</v>
      </c>
      <c r="M11" s="23">
        <f t="shared" si="3"/>
        <v>5100</v>
      </c>
      <c r="N11" s="24" t="s">
        <v>20</v>
      </c>
    </row>
    <row r="12" spans="1:17" x14ac:dyDescent="0.25">
      <c r="A12" s="458"/>
      <c r="B12" s="22" t="s">
        <v>22</v>
      </c>
      <c r="C12" s="22">
        <v>27.71</v>
      </c>
      <c r="D12" s="22">
        <v>9.76</v>
      </c>
      <c r="E12" s="22">
        <f t="shared" si="0"/>
        <v>17.950000000000003</v>
      </c>
      <c r="F12" s="22" t="s">
        <v>23</v>
      </c>
      <c r="G12" s="22" t="s">
        <v>33</v>
      </c>
      <c r="H12" s="23">
        <v>1350</v>
      </c>
      <c r="I12" s="23">
        <f t="shared" si="1"/>
        <v>24232.500000000004</v>
      </c>
      <c r="J12" s="23">
        <v>0</v>
      </c>
      <c r="K12" s="23">
        <f t="shared" si="4"/>
        <v>24232.500000000004</v>
      </c>
      <c r="L12" s="23">
        <v>0</v>
      </c>
      <c r="M12" s="23">
        <f t="shared" si="3"/>
        <v>24232.500000000004</v>
      </c>
      <c r="N12" s="24" t="s">
        <v>34</v>
      </c>
    </row>
    <row r="13" spans="1:17" x14ac:dyDescent="0.25">
      <c r="A13" s="459"/>
      <c r="B13" s="15" t="s">
        <v>42</v>
      </c>
      <c r="C13" s="15">
        <v>29.71</v>
      </c>
      <c r="D13" s="15">
        <v>9.68</v>
      </c>
      <c r="E13" s="15">
        <f t="shared" si="0"/>
        <v>20.03</v>
      </c>
      <c r="F13" s="15" t="s">
        <v>23</v>
      </c>
      <c r="G13" s="15" t="s">
        <v>43</v>
      </c>
      <c r="H13" s="16">
        <v>1600</v>
      </c>
      <c r="I13" s="16">
        <f t="shared" si="1"/>
        <v>32048</v>
      </c>
      <c r="J13" s="16">
        <v>0</v>
      </c>
      <c r="K13" s="16">
        <f t="shared" si="4"/>
        <v>32048</v>
      </c>
      <c r="L13" s="16">
        <v>0</v>
      </c>
      <c r="M13" s="16">
        <f t="shared" si="3"/>
        <v>32048</v>
      </c>
      <c r="N13" s="17" t="s">
        <v>44</v>
      </c>
    </row>
    <row r="14" spans="1:17" x14ac:dyDescent="0.25">
      <c r="A14" s="21">
        <v>45758</v>
      </c>
      <c r="B14" s="25" t="s">
        <v>22</v>
      </c>
      <c r="C14" s="25">
        <v>31.62</v>
      </c>
      <c r="D14" s="25">
        <v>9.76</v>
      </c>
      <c r="E14" s="25">
        <f t="shared" si="0"/>
        <v>21.86</v>
      </c>
      <c r="F14" s="25" t="s">
        <v>23</v>
      </c>
      <c r="G14" s="25" t="s">
        <v>45</v>
      </c>
      <c r="H14" s="26">
        <v>1350</v>
      </c>
      <c r="I14" s="26">
        <f t="shared" si="1"/>
        <v>29511</v>
      </c>
      <c r="J14" s="26">
        <v>500</v>
      </c>
      <c r="K14" s="26">
        <f t="shared" si="4"/>
        <v>30011</v>
      </c>
      <c r="L14" s="26">
        <v>11</v>
      </c>
      <c r="M14" s="26">
        <f t="shared" si="3"/>
        <v>30000</v>
      </c>
      <c r="N14" s="27" t="s">
        <v>20</v>
      </c>
    </row>
    <row r="15" spans="1:17" x14ac:dyDescent="0.25">
      <c r="A15" s="471">
        <v>45759</v>
      </c>
      <c r="B15" s="12" t="s">
        <v>42</v>
      </c>
      <c r="C15" s="12">
        <v>28.7</v>
      </c>
      <c r="D15" s="12">
        <v>9.6999999999999993</v>
      </c>
      <c r="E15" s="12">
        <f t="shared" si="0"/>
        <v>19</v>
      </c>
      <c r="F15" s="12" t="s">
        <v>35</v>
      </c>
      <c r="G15" s="12" t="s">
        <v>46</v>
      </c>
      <c r="H15" s="13">
        <v>1200</v>
      </c>
      <c r="I15" s="13">
        <f t="shared" si="1"/>
        <v>22800</v>
      </c>
      <c r="J15" s="13">
        <v>3500</v>
      </c>
      <c r="K15" s="13">
        <f t="shared" si="4"/>
        <v>26300</v>
      </c>
      <c r="L15" s="13">
        <v>0</v>
      </c>
      <c r="M15" s="13">
        <f t="shared" si="3"/>
        <v>26300</v>
      </c>
      <c r="N15" s="14" t="s">
        <v>25</v>
      </c>
    </row>
    <row r="16" spans="1:17" x14ac:dyDescent="0.25">
      <c r="A16" s="458"/>
      <c r="B16" s="22" t="s">
        <v>42</v>
      </c>
      <c r="C16" s="22">
        <v>23.61</v>
      </c>
      <c r="D16" s="22">
        <v>9.69</v>
      </c>
      <c r="E16" s="22">
        <f t="shared" si="0"/>
        <v>13.92</v>
      </c>
      <c r="F16" s="22" t="s">
        <v>23</v>
      </c>
      <c r="G16" s="22" t="s">
        <v>46</v>
      </c>
      <c r="H16" s="23">
        <v>1350</v>
      </c>
      <c r="I16" s="23">
        <f t="shared" si="1"/>
        <v>18792</v>
      </c>
      <c r="J16" s="23">
        <v>3500</v>
      </c>
      <c r="K16" s="23">
        <f t="shared" si="4"/>
        <v>22292</v>
      </c>
      <c r="L16" s="23">
        <v>0</v>
      </c>
      <c r="M16" s="23">
        <f t="shared" si="3"/>
        <v>22292</v>
      </c>
      <c r="N16" s="24" t="s">
        <v>25</v>
      </c>
    </row>
    <row r="17" spans="1:14" x14ac:dyDescent="0.25">
      <c r="A17" s="459"/>
      <c r="B17" s="15" t="s">
        <v>47</v>
      </c>
      <c r="C17" s="15">
        <v>28.59</v>
      </c>
      <c r="D17" s="15">
        <v>9.9700000000000006</v>
      </c>
      <c r="E17" s="15">
        <f t="shared" si="0"/>
        <v>18.619999999999997</v>
      </c>
      <c r="F17" s="15" t="s">
        <v>26</v>
      </c>
      <c r="G17" s="15" t="s">
        <v>48</v>
      </c>
      <c r="H17" s="16">
        <v>1225</v>
      </c>
      <c r="I17" s="16">
        <f t="shared" si="1"/>
        <v>22809.499999999996</v>
      </c>
      <c r="J17" s="16">
        <v>0</v>
      </c>
      <c r="K17" s="16">
        <f t="shared" si="4"/>
        <v>22809.499999999996</v>
      </c>
      <c r="L17" s="16">
        <v>0</v>
      </c>
      <c r="M17" s="16">
        <f t="shared" si="3"/>
        <v>22809.499999999996</v>
      </c>
      <c r="N17" s="17" t="s">
        <v>44</v>
      </c>
    </row>
    <row r="18" spans="1:14" x14ac:dyDescent="0.25">
      <c r="A18" s="457">
        <v>45760</v>
      </c>
      <c r="B18" s="12" t="s">
        <v>49</v>
      </c>
      <c r="C18" s="12">
        <v>28.03</v>
      </c>
      <c r="D18" s="12">
        <v>9.6300000000000008</v>
      </c>
      <c r="E18" s="12">
        <f t="shared" si="0"/>
        <v>18.399999999999999</v>
      </c>
      <c r="F18" s="12" t="s">
        <v>35</v>
      </c>
      <c r="G18" s="12" t="s">
        <v>50</v>
      </c>
      <c r="H18" s="13">
        <v>1125</v>
      </c>
      <c r="I18" s="13">
        <f t="shared" si="1"/>
        <v>20700</v>
      </c>
      <c r="J18" s="13">
        <v>0</v>
      </c>
      <c r="K18" s="13">
        <f t="shared" si="4"/>
        <v>20700</v>
      </c>
      <c r="L18" s="13">
        <v>0</v>
      </c>
      <c r="M18" s="13">
        <f t="shared" si="3"/>
        <v>20700</v>
      </c>
      <c r="N18" s="14" t="s">
        <v>44</v>
      </c>
    </row>
    <row r="19" spans="1:14" x14ac:dyDescent="0.25">
      <c r="A19" s="459"/>
      <c r="B19" s="28" t="s">
        <v>49</v>
      </c>
      <c r="C19" s="15">
        <v>27.94</v>
      </c>
      <c r="D19" s="15">
        <v>9.61</v>
      </c>
      <c r="E19" s="15">
        <f t="shared" si="0"/>
        <v>18.330000000000002</v>
      </c>
      <c r="F19" s="15" t="s">
        <v>35</v>
      </c>
      <c r="G19" s="15" t="s">
        <v>50</v>
      </c>
      <c r="H19" s="16">
        <v>1125</v>
      </c>
      <c r="I19" s="16">
        <f t="shared" si="1"/>
        <v>20621.250000000004</v>
      </c>
      <c r="J19" s="16">
        <v>0</v>
      </c>
      <c r="K19" s="16">
        <f t="shared" si="4"/>
        <v>20621.250000000004</v>
      </c>
      <c r="L19" s="16">
        <v>0</v>
      </c>
      <c r="M19" s="16">
        <f t="shared" si="3"/>
        <v>20621.250000000004</v>
      </c>
      <c r="N19" s="17" t="s">
        <v>44</v>
      </c>
    </row>
    <row r="20" spans="1:14" x14ac:dyDescent="0.25">
      <c r="A20" s="457">
        <v>45762</v>
      </c>
      <c r="B20" s="12" t="s">
        <v>42</v>
      </c>
      <c r="C20" s="12">
        <v>29.25</v>
      </c>
      <c r="D20" s="12">
        <v>9.7100000000000009</v>
      </c>
      <c r="E20" s="12">
        <f t="shared" si="0"/>
        <v>19.54</v>
      </c>
      <c r="F20" s="12" t="s">
        <v>26</v>
      </c>
      <c r="G20" s="12" t="s">
        <v>48</v>
      </c>
      <c r="H20" s="13">
        <v>1225</v>
      </c>
      <c r="I20" s="13">
        <f t="shared" si="1"/>
        <v>23936.5</v>
      </c>
      <c r="J20" s="13">
        <v>0</v>
      </c>
      <c r="K20" s="13">
        <f t="shared" si="4"/>
        <v>23936.5</v>
      </c>
      <c r="L20" s="13">
        <v>0</v>
      </c>
      <c r="M20" s="13">
        <f t="shared" si="3"/>
        <v>23936.5</v>
      </c>
      <c r="N20" s="14" t="s">
        <v>44</v>
      </c>
    </row>
    <row r="21" spans="1:14" ht="15.75" customHeight="1" x14ac:dyDescent="0.25">
      <c r="A21" s="458"/>
      <c r="B21" s="22" t="s">
        <v>51</v>
      </c>
      <c r="C21" s="22">
        <v>28.73</v>
      </c>
      <c r="D21" s="22">
        <v>9.8800000000000008</v>
      </c>
      <c r="E21" s="22">
        <f t="shared" si="0"/>
        <v>18.850000000000001</v>
      </c>
      <c r="F21" s="22" t="s">
        <v>26</v>
      </c>
      <c r="G21" s="22" t="s">
        <v>48</v>
      </c>
      <c r="H21" s="23">
        <v>1225</v>
      </c>
      <c r="I21" s="23">
        <f t="shared" si="1"/>
        <v>23091.25</v>
      </c>
      <c r="J21" s="23">
        <v>0</v>
      </c>
      <c r="K21" s="23">
        <f t="shared" si="4"/>
        <v>23091.25</v>
      </c>
      <c r="L21" s="23">
        <v>0</v>
      </c>
      <c r="M21" s="23">
        <f t="shared" si="3"/>
        <v>23091.25</v>
      </c>
      <c r="N21" s="24" t="s">
        <v>44</v>
      </c>
    </row>
    <row r="22" spans="1:14" ht="15.75" customHeight="1" x14ac:dyDescent="0.25">
      <c r="A22" s="458"/>
      <c r="B22" s="22" t="s">
        <v>49</v>
      </c>
      <c r="C22" s="22">
        <v>27.34</v>
      </c>
      <c r="D22" s="22">
        <v>9.57</v>
      </c>
      <c r="E22" s="22">
        <f t="shared" si="0"/>
        <v>17.77</v>
      </c>
      <c r="F22" s="22" t="s">
        <v>23</v>
      </c>
      <c r="G22" s="22" t="s">
        <v>52</v>
      </c>
      <c r="H22" s="23">
        <v>1350</v>
      </c>
      <c r="I22" s="23">
        <f t="shared" si="1"/>
        <v>23989.5</v>
      </c>
      <c r="J22" s="23">
        <v>3500</v>
      </c>
      <c r="K22" s="23">
        <f t="shared" si="4"/>
        <v>27489.5</v>
      </c>
      <c r="L22" s="23">
        <v>0</v>
      </c>
      <c r="M22" s="23">
        <f t="shared" si="3"/>
        <v>27489.5</v>
      </c>
      <c r="N22" s="24" t="s">
        <v>20</v>
      </c>
    </row>
    <row r="23" spans="1:14" ht="15.75" customHeight="1" x14ac:dyDescent="0.25">
      <c r="A23" s="458"/>
      <c r="B23" s="22" t="s">
        <v>42</v>
      </c>
      <c r="C23" s="22">
        <v>28.44</v>
      </c>
      <c r="D23" s="22">
        <v>9.73</v>
      </c>
      <c r="E23" s="22">
        <f t="shared" si="0"/>
        <v>18.71</v>
      </c>
      <c r="F23" s="22" t="s">
        <v>23</v>
      </c>
      <c r="G23" s="22" t="s">
        <v>53</v>
      </c>
      <c r="H23" s="23">
        <v>1350</v>
      </c>
      <c r="I23" s="23">
        <f t="shared" si="1"/>
        <v>25258.5</v>
      </c>
      <c r="J23" s="23">
        <v>2500</v>
      </c>
      <c r="K23" s="23">
        <f t="shared" si="4"/>
        <v>27758.5</v>
      </c>
      <c r="L23" s="23">
        <v>58.5</v>
      </c>
      <c r="M23" s="23">
        <f t="shared" si="3"/>
        <v>27700</v>
      </c>
      <c r="N23" s="24" t="s">
        <v>20</v>
      </c>
    </row>
    <row r="24" spans="1:14" ht="15.75" customHeight="1" x14ac:dyDescent="0.25">
      <c r="A24" s="458"/>
      <c r="B24" s="22" t="s">
        <v>51</v>
      </c>
      <c r="C24" s="22">
        <v>28.49</v>
      </c>
      <c r="D24" s="22">
        <v>9.83</v>
      </c>
      <c r="E24" s="22">
        <f t="shared" si="0"/>
        <v>18.659999999999997</v>
      </c>
      <c r="F24" s="22" t="s">
        <v>38</v>
      </c>
      <c r="G24" s="22" t="s">
        <v>33</v>
      </c>
      <c r="H24" s="23">
        <v>500</v>
      </c>
      <c r="I24" s="23">
        <f t="shared" si="1"/>
        <v>9329.9999999999982</v>
      </c>
      <c r="J24" s="23">
        <v>0</v>
      </c>
      <c r="K24" s="23">
        <f t="shared" si="4"/>
        <v>9329.9999999999982</v>
      </c>
      <c r="L24" s="23">
        <v>0</v>
      </c>
      <c r="M24" s="23">
        <f t="shared" si="3"/>
        <v>9329.9999999999982</v>
      </c>
      <c r="N24" s="24" t="s">
        <v>34</v>
      </c>
    </row>
    <row r="25" spans="1:14" ht="15.75" customHeight="1" x14ac:dyDescent="0.25">
      <c r="A25" s="458"/>
      <c r="B25" s="22" t="s">
        <v>49</v>
      </c>
      <c r="C25" s="22">
        <v>28.3</v>
      </c>
      <c r="D25" s="22">
        <v>9.57</v>
      </c>
      <c r="E25" s="22">
        <f t="shared" si="0"/>
        <v>18.73</v>
      </c>
      <c r="F25" s="22" t="s">
        <v>38</v>
      </c>
      <c r="G25" s="22" t="s">
        <v>33</v>
      </c>
      <c r="H25" s="23">
        <v>500</v>
      </c>
      <c r="I25" s="23">
        <f t="shared" si="1"/>
        <v>9365</v>
      </c>
      <c r="J25" s="23">
        <v>0</v>
      </c>
      <c r="K25" s="23">
        <f t="shared" si="4"/>
        <v>9365</v>
      </c>
      <c r="L25" s="23">
        <v>0</v>
      </c>
      <c r="M25" s="23">
        <f t="shared" si="3"/>
        <v>9365</v>
      </c>
      <c r="N25" s="24" t="s">
        <v>34</v>
      </c>
    </row>
    <row r="26" spans="1:14" ht="15.75" customHeight="1" x14ac:dyDescent="0.25">
      <c r="A26" s="459"/>
      <c r="B26" s="15" t="s">
        <v>42</v>
      </c>
      <c r="C26" s="15">
        <v>30.42</v>
      </c>
      <c r="D26" s="15">
        <v>9.69</v>
      </c>
      <c r="E26" s="15">
        <f t="shared" si="0"/>
        <v>20.730000000000004</v>
      </c>
      <c r="F26" s="15" t="s">
        <v>23</v>
      </c>
      <c r="G26" s="15" t="s">
        <v>54</v>
      </c>
      <c r="H26" s="16">
        <v>1350</v>
      </c>
      <c r="I26" s="16">
        <f t="shared" si="1"/>
        <v>27985.500000000004</v>
      </c>
      <c r="J26" s="16">
        <v>2000</v>
      </c>
      <c r="K26" s="16">
        <f t="shared" si="4"/>
        <v>29985.500000000004</v>
      </c>
      <c r="L26" s="16">
        <v>5.5</v>
      </c>
      <c r="M26" s="16">
        <f t="shared" si="3"/>
        <v>29980.000000000004</v>
      </c>
      <c r="N26" s="17" t="s">
        <v>20</v>
      </c>
    </row>
    <row r="27" spans="1:14" ht="15.75" customHeight="1" x14ac:dyDescent="0.25">
      <c r="A27" s="457">
        <v>45763</v>
      </c>
      <c r="B27" s="12" t="s">
        <v>42</v>
      </c>
      <c r="C27" s="12">
        <v>28.54</v>
      </c>
      <c r="D27" s="12">
        <v>9.7200000000000006</v>
      </c>
      <c r="E27" s="12">
        <f t="shared" si="0"/>
        <v>18.82</v>
      </c>
      <c r="F27" s="12" t="s">
        <v>23</v>
      </c>
      <c r="G27" s="12" t="s">
        <v>53</v>
      </c>
      <c r="H27" s="13">
        <v>1350</v>
      </c>
      <c r="I27" s="13">
        <f t="shared" si="1"/>
        <v>25407</v>
      </c>
      <c r="J27" s="13">
        <v>2000</v>
      </c>
      <c r="K27" s="13">
        <f t="shared" si="4"/>
        <v>27407</v>
      </c>
      <c r="L27" s="13">
        <v>7</v>
      </c>
      <c r="M27" s="13">
        <f t="shared" si="3"/>
        <v>27400</v>
      </c>
      <c r="N27" s="14" t="s">
        <v>20</v>
      </c>
    </row>
    <row r="28" spans="1:14" ht="15.75" customHeight="1" x14ac:dyDescent="0.25">
      <c r="A28" s="458"/>
      <c r="B28" s="22" t="s">
        <v>51</v>
      </c>
      <c r="C28" s="22">
        <v>27.83</v>
      </c>
      <c r="D28" s="22">
        <v>9.83</v>
      </c>
      <c r="E28" s="22">
        <f t="shared" si="0"/>
        <v>18</v>
      </c>
      <c r="F28" s="22" t="s">
        <v>26</v>
      </c>
      <c r="G28" s="22" t="s">
        <v>48</v>
      </c>
      <c r="H28" s="23">
        <v>1225</v>
      </c>
      <c r="I28" s="23">
        <f t="shared" si="1"/>
        <v>22050</v>
      </c>
      <c r="J28" s="23">
        <v>0</v>
      </c>
      <c r="K28" s="29">
        <f t="shared" si="4"/>
        <v>22050</v>
      </c>
      <c r="L28" s="23">
        <v>0</v>
      </c>
      <c r="M28" s="23">
        <f t="shared" si="3"/>
        <v>22050</v>
      </c>
      <c r="N28" s="24" t="s">
        <v>44</v>
      </c>
    </row>
    <row r="29" spans="1:14" ht="15.75" customHeight="1" x14ac:dyDescent="0.25">
      <c r="A29" s="459"/>
      <c r="B29" s="15" t="s">
        <v>22</v>
      </c>
      <c r="C29" s="15">
        <v>29.4</v>
      </c>
      <c r="D29" s="15">
        <v>9.8000000000000007</v>
      </c>
      <c r="E29" s="15">
        <f t="shared" si="0"/>
        <v>19.599999999999998</v>
      </c>
      <c r="F29" s="15" t="s">
        <v>23</v>
      </c>
      <c r="G29" s="15" t="s">
        <v>33</v>
      </c>
      <c r="H29" s="16">
        <v>1300</v>
      </c>
      <c r="I29" s="16">
        <f t="shared" si="1"/>
        <v>25479.999999999996</v>
      </c>
      <c r="J29" s="16">
        <v>0</v>
      </c>
      <c r="K29" s="30">
        <f t="shared" si="4"/>
        <v>25479.999999999996</v>
      </c>
      <c r="L29" s="16">
        <v>0</v>
      </c>
      <c r="M29" s="16">
        <f t="shared" si="3"/>
        <v>25479.999999999996</v>
      </c>
      <c r="N29" s="17" t="s">
        <v>34</v>
      </c>
    </row>
    <row r="30" spans="1:14" ht="15.75" customHeight="1" x14ac:dyDescent="0.25">
      <c r="A30" s="457">
        <v>45764</v>
      </c>
      <c r="B30" s="12" t="s">
        <v>42</v>
      </c>
      <c r="C30" s="12">
        <v>28.97</v>
      </c>
      <c r="D30" s="12">
        <v>9.75</v>
      </c>
      <c r="E30" s="12">
        <f t="shared" si="0"/>
        <v>19.22</v>
      </c>
      <c r="F30" s="12" t="s">
        <v>23</v>
      </c>
      <c r="G30" s="12" t="s">
        <v>46</v>
      </c>
      <c r="H30" s="13">
        <v>1350</v>
      </c>
      <c r="I30" s="13">
        <f t="shared" si="1"/>
        <v>25947</v>
      </c>
      <c r="J30" s="13">
        <v>3500</v>
      </c>
      <c r="K30" s="13">
        <f t="shared" si="4"/>
        <v>29447</v>
      </c>
      <c r="L30" s="13">
        <v>0</v>
      </c>
      <c r="M30" s="13">
        <v>30000</v>
      </c>
      <c r="N30" s="14" t="s">
        <v>34</v>
      </c>
    </row>
    <row r="31" spans="1:14" ht="15.75" customHeight="1" x14ac:dyDescent="0.25">
      <c r="A31" s="458"/>
      <c r="B31" s="22" t="s">
        <v>51</v>
      </c>
      <c r="C31" s="22">
        <v>27.99</v>
      </c>
      <c r="D31" s="22">
        <v>9.84</v>
      </c>
      <c r="E31" s="22">
        <f t="shared" si="0"/>
        <v>18.149999999999999</v>
      </c>
      <c r="F31" s="22" t="s">
        <v>18</v>
      </c>
      <c r="G31" s="22" t="s">
        <v>33</v>
      </c>
      <c r="H31" s="23">
        <v>1100</v>
      </c>
      <c r="I31" s="23">
        <f t="shared" si="1"/>
        <v>19965</v>
      </c>
      <c r="J31" s="23">
        <v>0</v>
      </c>
      <c r="K31" s="23">
        <f t="shared" si="4"/>
        <v>19965</v>
      </c>
      <c r="L31" s="23">
        <v>0</v>
      </c>
      <c r="M31" s="23">
        <f t="shared" ref="M31:M83" si="5">K31-L31</f>
        <v>19965</v>
      </c>
      <c r="N31" s="24" t="s">
        <v>34</v>
      </c>
    </row>
    <row r="32" spans="1:14" ht="15.75" customHeight="1" x14ac:dyDescent="0.25">
      <c r="A32" s="458"/>
      <c r="B32" s="22" t="s">
        <v>47</v>
      </c>
      <c r="C32" s="22">
        <v>27.37</v>
      </c>
      <c r="D32" s="22">
        <v>9.67</v>
      </c>
      <c r="E32" s="22">
        <f t="shared" si="0"/>
        <v>17.700000000000003</v>
      </c>
      <c r="F32" s="22" t="s">
        <v>23</v>
      </c>
      <c r="G32" s="22" t="s">
        <v>33</v>
      </c>
      <c r="H32" s="23">
        <v>1300</v>
      </c>
      <c r="I32" s="23">
        <f t="shared" si="1"/>
        <v>23010.000000000004</v>
      </c>
      <c r="J32" s="23">
        <v>0</v>
      </c>
      <c r="K32" s="23">
        <f t="shared" si="4"/>
        <v>23010.000000000004</v>
      </c>
      <c r="L32" s="23">
        <v>0</v>
      </c>
      <c r="M32" s="23">
        <f t="shared" si="5"/>
        <v>23010.000000000004</v>
      </c>
      <c r="N32" s="24" t="s">
        <v>34</v>
      </c>
    </row>
    <row r="33" spans="1:14" ht="15.75" customHeight="1" x14ac:dyDescent="0.25">
      <c r="A33" s="458"/>
      <c r="B33" s="31" t="s">
        <v>55</v>
      </c>
      <c r="C33" s="22">
        <v>21.89</v>
      </c>
      <c r="D33" s="22">
        <v>15.25</v>
      </c>
      <c r="E33" s="22">
        <f t="shared" si="0"/>
        <v>6.6400000000000006</v>
      </c>
      <c r="F33" s="22" t="s">
        <v>23</v>
      </c>
      <c r="G33" s="22" t="s">
        <v>56</v>
      </c>
      <c r="H33" s="23">
        <v>1350</v>
      </c>
      <c r="I33" s="23">
        <f t="shared" si="1"/>
        <v>8964</v>
      </c>
      <c r="J33" s="23">
        <v>0</v>
      </c>
      <c r="K33" s="23">
        <f t="shared" si="4"/>
        <v>8964</v>
      </c>
      <c r="L33" s="23">
        <v>4</v>
      </c>
      <c r="M33" s="23">
        <f t="shared" si="5"/>
        <v>8960</v>
      </c>
      <c r="N33" s="24" t="s">
        <v>20</v>
      </c>
    </row>
    <row r="34" spans="1:14" ht="15.75" customHeight="1" x14ac:dyDescent="0.25">
      <c r="A34" s="458"/>
      <c r="B34" s="31" t="s">
        <v>47</v>
      </c>
      <c r="C34" s="22">
        <v>27.55</v>
      </c>
      <c r="D34" s="22">
        <v>9.65</v>
      </c>
      <c r="E34" s="22">
        <f t="shared" si="0"/>
        <v>17.899999999999999</v>
      </c>
      <c r="F34" s="22" t="s">
        <v>26</v>
      </c>
      <c r="G34" s="22" t="s">
        <v>57</v>
      </c>
      <c r="H34" s="23">
        <v>1365</v>
      </c>
      <c r="I34" s="23">
        <f t="shared" si="1"/>
        <v>24433.499999999996</v>
      </c>
      <c r="J34" s="23">
        <v>0</v>
      </c>
      <c r="K34" s="23">
        <f t="shared" si="4"/>
        <v>24433.499999999996</v>
      </c>
      <c r="L34" s="23">
        <v>0</v>
      </c>
      <c r="M34" s="23">
        <f t="shared" si="5"/>
        <v>24433.499999999996</v>
      </c>
      <c r="N34" s="24" t="s">
        <v>44</v>
      </c>
    </row>
    <row r="35" spans="1:14" ht="15.75" customHeight="1" x14ac:dyDescent="0.25">
      <c r="A35" s="458"/>
      <c r="B35" s="31" t="s">
        <v>58</v>
      </c>
      <c r="C35" s="22">
        <v>27.9</v>
      </c>
      <c r="D35" s="22">
        <v>9.74</v>
      </c>
      <c r="E35" s="22">
        <f t="shared" si="0"/>
        <v>18.159999999999997</v>
      </c>
      <c r="F35" s="22" t="s">
        <v>26</v>
      </c>
      <c r="G35" s="22" t="s">
        <v>57</v>
      </c>
      <c r="H35" s="23">
        <v>1365</v>
      </c>
      <c r="I35" s="23">
        <f t="shared" si="1"/>
        <v>24788.399999999994</v>
      </c>
      <c r="J35" s="23">
        <v>0</v>
      </c>
      <c r="K35" s="23">
        <f t="shared" si="4"/>
        <v>24788.399999999994</v>
      </c>
      <c r="L35" s="23">
        <v>0</v>
      </c>
      <c r="M35" s="23">
        <f t="shared" si="5"/>
        <v>24788.399999999994</v>
      </c>
      <c r="N35" s="24" t="s">
        <v>44</v>
      </c>
    </row>
    <row r="36" spans="1:14" ht="15.75" customHeight="1" x14ac:dyDescent="0.25">
      <c r="A36" s="458"/>
      <c r="B36" s="31" t="s">
        <v>42</v>
      </c>
      <c r="C36" s="22">
        <v>28.4</v>
      </c>
      <c r="D36" s="22">
        <v>9.76</v>
      </c>
      <c r="E36" s="22">
        <f t="shared" si="0"/>
        <v>18.64</v>
      </c>
      <c r="F36" s="22" t="s">
        <v>26</v>
      </c>
      <c r="G36" s="22" t="s">
        <v>57</v>
      </c>
      <c r="H36" s="23">
        <v>1365</v>
      </c>
      <c r="I36" s="23">
        <f t="shared" si="1"/>
        <v>25443.600000000002</v>
      </c>
      <c r="J36" s="23">
        <v>0</v>
      </c>
      <c r="K36" s="23">
        <f t="shared" si="4"/>
        <v>25443.600000000002</v>
      </c>
      <c r="L36" s="23">
        <v>0</v>
      </c>
      <c r="M36" s="23">
        <f t="shared" si="5"/>
        <v>25443.600000000002</v>
      </c>
      <c r="N36" s="24" t="s">
        <v>44</v>
      </c>
    </row>
    <row r="37" spans="1:14" ht="15.75" customHeight="1" x14ac:dyDescent="0.25">
      <c r="A37" s="459"/>
      <c r="B37" s="32" t="s">
        <v>17</v>
      </c>
      <c r="C37" s="15">
        <v>6.89</v>
      </c>
      <c r="D37" s="15">
        <v>2.89</v>
      </c>
      <c r="E37" s="15">
        <f t="shared" si="0"/>
        <v>3.9999999999999996</v>
      </c>
      <c r="F37" s="15" t="s">
        <v>23</v>
      </c>
      <c r="G37" s="15" t="s">
        <v>59</v>
      </c>
      <c r="H37" s="16">
        <v>1350</v>
      </c>
      <c r="I37" s="16">
        <f t="shared" si="1"/>
        <v>5399.9999999999991</v>
      </c>
      <c r="J37" s="16">
        <v>0</v>
      </c>
      <c r="K37" s="16">
        <f t="shared" si="4"/>
        <v>5399.9999999999991</v>
      </c>
      <c r="L37" s="16">
        <v>0</v>
      </c>
      <c r="M37" s="16">
        <f t="shared" si="5"/>
        <v>5399.9999999999991</v>
      </c>
      <c r="N37" s="17" t="s">
        <v>20</v>
      </c>
    </row>
    <row r="38" spans="1:14" ht="15.75" customHeight="1" x14ac:dyDescent="0.25">
      <c r="A38" s="457">
        <v>45765</v>
      </c>
      <c r="B38" s="12" t="s">
        <v>42</v>
      </c>
      <c r="C38" s="12">
        <v>28.73</v>
      </c>
      <c r="D38" s="12">
        <v>9.7799999999999994</v>
      </c>
      <c r="E38" s="12">
        <f t="shared" si="0"/>
        <v>18.950000000000003</v>
      </c>
      <c r="F38" s="12" t="s">
        <v>26</v>
      </c>
      <c r="G38" s="12" t="s">
        <v>57</v>
      </c>
      <c r="H38" s="13">
        <v>1365</v>
      </c>
      <c r="I38" s="13">
        <f t="shared" si="1"/>
        <v>25866.750000000004</v>
      </c>
      <c r="J38" s="13">
        <v>0</v>
      </c>
      <c r="K38" s="13">
        <f t="shared" si="4"/>
        <v>25866.750000000004</v>
      </c>
      <c r="L38" s="13">
        <v>0</v>
      </c>
      <c r="M38" s="13">
        <f t="shared" si="5"/>
        <v>25866.750000000004</v>
      </c>
      <c r="N38" s="14" t="s">
        <v>44</v>
      </c>
    </row>
    <row r="39" spans="1:14" ht="15.75" customHeight="1" x14ac:dyDescent="0.25">
      <c r="A39" s="458"/>
      <c r="B39" s="22" t="s">
        <v>51</v>
      </c>
      <c r="C39" s="22">
        <v>28.03</v>
      </c>
      <c r="D39" s="22">
        <v>9.83</v>
      </c>
      <c r="E39" s="22">
        <f t="shared" si="0"/>
        <v>18.200000000000003</v>
      </c>
      <c r="F39" s="22" t="s">
        <v>26</v>
      </c>
      <c r="G39" s="22" t="s">
        <v>57</v>
      </c>
      <c r="H39" s="23">
        <v>1365</v>
      </c>
      <c r="I39" s="23">
        <f t="shared" si="1"/>
        <v>24843.000000000004</v>
      </c>
      <c r="J39" s="23">
        <v>0</v>
      </c>
      <c r="K39" s="23">
        <f t="shared" si="4"/>
        <v>24843.000000000004</v>
      </c>
      <c r="L39" s="23">
        <v>0</v>
      </c>
      <c r="M39" s="23">
        <f t="shared" si="5"/>
        <v>24843.000000000004</v>
      </c>
      <c r="N39" s="24" t="s">
        <v>44</v>
      </c>
    </row>
    <row r="40" spans="1:14" ht="15.75" customHeight="1" x14ac:dyDescent="0.25">
      <c r="A40" s="458"/>
      <c r="B40" s="22" t="s">
        <v>60</v>
      </c>
      <c r="C40" s="22">
        <v>14.56</v>
      </c>
      <c r="D40" s="22">
        <v>9.5500000000000007</v>
      </c>
      <c r="E40" s="22">
        <f t="shared" si="0"/>
        <v>5.01</v>
      </c>
      <c r="F40" s="22" t="s">
        <v>18</v>
      </c>
      <c r="G40" s="22" t="s">
        <v>61</v>
      </c>
      <c r="H40" s="23">
        <v>1200</v>
      </c>
      <c r="I40" s="23">
        <f t="shared" si="1"/>
        <v>6012</v>
      </c>
      <c r="J40" s="23">
        <v>0</v>
      </c>
      <c r="K40" s="23">
        <f t="shared" si="4"/>
        <v>6012</v>
      </c>
      <c r="L40" s="23">
        <v>12</v>
      </c>
      <c r="M40" s="23">
        <f t="shared" si="5"/>
        <v>6000</v>
      </c>
      <c r="N40" s="24" t="s">
        <v>20</v>
      </c>
    </row>
    <row r="41" spans="1:14" ht="15.75" customHeight="1" x14ac:dyDescent="0.25">
      <c r="A41" s="458"/>
      <c r="B41" s="22" t="s">
        <v>17</v>
      </c>
      <c r="C41" s="22">
        <v>6.62</v>
      </c>
      <c r="D41" s="22">
        <v>2.88</v>
      </c>
      <c r="E41" s="22">
        <f t="shared" si="0"/>
        <v>3.74</v>
      </c>
      <c r="F41" s="22" t="s">
        <v>23</v>
      </c>
      <c r="G41" s="22" t="s">
        <v>62</v>
      </c>
      <c r="H41" s="23">
        <v>1350</v>
      </c>
      <c r="I41" s="23">
        <f t="shared" si="1"/>
        <v>5049</v>
      </c>
      <c r="J41" s="23">
        <v>0</v>
      </c>
      <c r="K41" s="23">
        <f t="shared" si="4"/>
        <v>5049</v>
      </c>
      <c r="L41" s="23">
        <v>49</v>
      </c>
      <c r="M41" s="23">
        <f t="shared" si="5"/>
        <v>5000</v>
      </c>
      <c r="N41" s="24" t="s">
        <v>20</v>
      </c>
    </row>
    <row r="42" spans="1:14" ht="15.75" customHeight="1" x14ac:dyDescent="0.25">
      <c r="A42" s="458"/>
      <c r="B42" s="22" t="s">
        <v>42</v>
      </c>
      <c r="C42" s="22">
        <v>33.44</v>
      </c>
      <c r="D42" s="22">
        <v>9.7899999999999991</v>
      </c>
      <c r="E42" s="22">
        <f t="shared" si="0"/>
        <v>23.65</v>
      </c>
      <c r="F42" s="22" t="s">
        <v>38</v>
      </c>
      <c r="G42" s="22" t="s">
        <v>33</v>
      </c>
      <c r="H42" s="23">
        <v>500</v>
      </c>
      <c r="I42" s="23">
        <f t="shared" si="1"/>
        <v>11825</v>
      </c>
      <c r="J42" s="23">
        <v>0</v>
      </c>
      <c r="K42" s="23">
        <f t="shared" si="4"/>
        <v>11825</v>
      </c>
      <c r="L42" s="23">
        <v>0</v>
      </c>
      <c r="M42" s="23">
        <f t="shared" si="5"/>
        <v>11825</v>
      </c>
      <c r="N42" s="24" t="s">
        <v>34</v>
      </c>
    </row>
    <row r="43" spans="1:14" ht="15.75" customHeight="1" x14ac:dyDescent="0.25">
      <c r="A43" s="458"/>
      <c r="B43" s="22" t="s">
        <v>49</v>
      </c>
      <c r="C43" s="22">
        <v>26.56</v>
      </c>
      <c r="D43" s="22">
        <v>9.56</v>
      </c>
      <c r="E43" s="22">
        <f t="shared" si="0"/>
        <v>17</v>
      </c>
      <c r="F43" s="22" t="s">
        <v>18</v>
      </c>
      <c r="G43" s="22" t="s">
        <v>33</v>
      </c>
      <c r="H43" s="23">
        <v>1100</v>
      </c>
      <c r="I43" s="23">
        <f t="shared" si="1"/>
        <v>18700</v>
      </c>
      <c r="J43" s="23">
        <v>0</v>
      </c>
      <c r="K43" s="23">
        <f t="shared" si="4"/>
        <v>18700</v>
      </c>
      <c r="L43" s="23">
        <v>0</v>
      </c>
      <c r="M43" s="23">
        <f t="shared" si="5"/>
        <v>18700</v>
      </c>
      <c r="N43" s="24" t="s">
        <v>34</v>
      </c>
    </row>
    <row r="44" spans="1:14" ht="15.75" customHeight="1" x14ac:dyDescent="0.25">
      <c r="A44" s="459"/>
      <c r="B44" s="15" t="s">
        <v>63</v>
      </c>
      <c r="C44" s="15">
        <v>4.24</v>
      </c>
      <c r="D44" s="15">
        <v>2.0499999999999998</v>
      </c>
      <c r="E44" s="15">
        <f t="shared" si="0"/>
        <v>2.1900000000000004</v>
      </c>
      <c r="F44" s="15" t="s">
        <v>23</v>
      </c>
      <c r="G44" s="15" t="s">
        <v>64</v>
      </c>
      <c r="H44" s="16">
        <v>1350</v>
      </c>
      <c r="I44" s="16">
        <f t="shared" si="1"/>
        <v>2956.5000000000005</v>
      </c>
      <c r="J44" s="16">
        <v>0</v>
      </c>
      <c r="K44" s="16">
        <f t="shared" si="4"/>
        <v>2956.5000000000005</v>
      </c>
      <c r="L44" s="16">
        <v>6.5</v>
      </c>
      <c r="M44" s="16">
        <f t="shared" si="5"/>
        <v>2950.0000000000005</v>
      </c>
      <c r="N44" s="17" t="s">
        <v>25</v>
      </c>
    </row>
    <row r="45" spans="1:14" ht="15.75" customHeight="1" x14ac:dyDescent="0.25">
      <c r="A45" s="457">
        <v>45766</v>
      </c>
      <c r="B45" s="12" t="s">
        <v>51</v>
      </c>
      <c r="C45" s="12">
        <v>27.96</v>
      </c>
      <c r="D45" s="12">
        <v>9.83</v>
      </c>
      <c r="E45" s="12">
        <f t="shared" si="0"/>
        <v>18.130000000000003</v>
      </c>
      <c r="F45" s="12" t="s">
        <v>23</v>
      </c>
      <c r="G45" s="12" t="s">
        <v>65</v>
      </c>
      <c r="H45" s="13">
        <v>1350</v>
      </c>
      <c r="I45" s="13">
        <f t="shared" si="1"/>
        <v>24475.500000000004</v>
      </c>
      <c r="J45" s="13">
        <v>2500</v>
      </c>
      <c r="K45" s="13">
        <f t="shared" si="4"/>
        <v>26975.500000000004</v>
      </c>
      <c r="L45" s="13">
        <v>75.5</v>
      </c>
      <c r="M45" s="13">
        <f t="shared" si="5"/>
        <v>26900.000000000004</v>
      </c>
      <c r="N45" s="14" t="s">
        <v>25</v>
      </c>
    </row>
    <row r="46" spans="1:14" ht="15.75" customHeight="1" x14ac:dyDescent="0.25">
      <c r="A46" s="458"/>
      <c r="B46" s="22" t="s">
        <v>22</v>
      </c>
      <c r="C46" s="22">
        <v>29.71</v>
      </c>
      <c r="D46" s="22">
        <v>9.83</v>
      </c>
      <c r="E46" s="22">
        <f t="shared" si="0"/>
        <v>19.880000000000003</v>
      </c>
      <c r="F46" s="22" t="s">
        <v>38</v>
      </c>
      <c r="G46" s="22" t="s">
        <v>66</v>
      </c>
      <c r="H46" s="23">
        <v>500</v>
      </c>
      <c r="I46" s="23">
        <f t="shared" si="1"/>
        <v>9940.0000000000018</v>
      </c>
      <c r="J46" s="23">
        <v>0</v>
      </c>
      <c r="K46" s="23">
        <f t="shared" si="4"/>
        <v>9940.0000000000018</v>
      </c>
      <c r="L46" s="23">
        <v>0</v>
      </c>
      <c r="M46" s="23">
        <f t="shared" si="5"/>
        <v>9940.0000000000018</v>
      </c>
      <c r="N46" s="24" t="s">
        <v>44</v>
      </c>
    </row>
    <row r="47" spans="1:14" ht="15.75" customHeight="1" x14ac:dyDescent="0.25">
      <c r="A47" s="458"/>
      <c r="B47" s="22" t="s">
        <v>42</v>
      </c>
      <c r="C47" s="22">
        <v>29.07</v>
      </c>
      <c r="D47" s="22">
        <v>9.77</v>
      </c>
      <c r="E47" s="22">
        <f t="shared" si="0"/>
        <v>19.3</v>
      </c>
      <c r="F47" s="22" t="s">
        <v>18</v>
      </c>
      <c r="G47" s="22" t="s">
        <v>66</v>
      </c>
      <c r="H47" s="23">
        <v>1100</v>
      </c>
      <c r="I47" s="23">
        <f t="shared" si="1"/>
        <v>21230</v>
      </c>
      <c r="J47" s="23">
        <v>0</v>
      </c>
      <c r="K47" s="23">
        <f t="shared" si="4"/>
        <v>21230</v>
      </c>
      <c r="L47" s="23">
        <v>0</v>
      </c>
      <c r="M47" s="23">
        <f t="shared" si="5"/>
        <v>21230</v>
      </c>
      <c r="N47" s="24" t="s">
        <v>44</v>
      </c>
    </row>
    <row r="48" spans="1:14" ht="15.75" customHeight="1" x14ac:dyDescent="0.25">
      <c r="A48" s="458"/>
      <c r="B48" s="22" t="s">
        <v>51</v>
      </c>
      <c r="C48" s="22">
        <v>30.22</v>
      </c>
      <c r="D48" s="22">
        <v>9.8000000000000007</v>
      </c>
      <c r="E48" s="22">
        <f t="shared" si="0"/>
        <v>20.419999999999998</v>
      </c>
      <c r="F48" s="22" t="s">
        <v>35</v>
      </c>
      <c r="G48" s="22" t="s">
        <v>66</v>
      </c>
      <c r="H48" s="23">
        <v>1100</v>
      </c>
      <c r="I48" s="23">
        <f t="shared" si="1"/>
        <v>22461.999999999996</v>
      </c>
      <c r="J48" s="23">
        <v>0</v>
      </c>
      <c r="K48" s="23">
        <f t="shared" si="4"/>
        <v>22461.999999999996</v>
      </c>
      <c r="L48" s="23">
        <v>0</v>
      </c>
      <c r="M48" s="23">
        <f t="shared" si="5"/>
        <v>22461.999999999996</v>
      </c>
      <c r="N48" s="24" t="s">
        <v>44</v>
      </c>
    </row>
    <row r="49" spans="1:14" ht="15.75" customHeight="1" x14ac:dyDescent="0.25">
      <c r="A49" s="459"/>
      <c r="B49" s="15" t="s">
        <v>49</v>
      </c>
      <c r="C49" s="15">
        <v>30.14</v>
      </c>
      <c r="D49" s="15">
        <v>9.56</v>
      </c>
      <c r="E49" s="15">
        <f t="shared" si="0"/>
        <v>20.58</v>
      </c>
      <c r="F49" s="15" t="s">
        <v>35</v>
      </c>
      <c r="G49" s="15" t="s">
        <v>66</v>
      </c>
      <c r="H49" s="16">
        <v>1100</v>
      </c>
      <c r="I49" s="16">
        <f t="shared" si="1"/>
        <v>22637.999999999996</v>
      </c>
      <c r="J49" s="16">
        <v>0</v>
      </c>
      <c r="K49" s="16">
        <f t="shared" si="4"/>
        <v>22637.999999999996</v>
      </c>
      <c r="L49" s="16">
        <v>0</v>
      </c>
      <c r="M49" s="16">
        <f t="shared" si="5"/>
        <v>22637.999999999996</v>
      </c>
      <c r="N49" s="17" t="s">
        <v>44</v>
      </c>
    </row>
    <row r="50" spans="1:14" ht="15.75" customHeight="1" x14ac:dyDescent="0.25">
      <c r="A50" s="457">
        <v>45767</v>
      </c>
      <c r="B50" s="12" t="s">
        <v>51</v>
      </c>
      <c r="C50" s="12">
        <v>27.15</v>
      </c>
      <c r="D50" s="12">
        <v>9.7799999999999994</v>
      </c>
      <c r="E50" s="12">
        <f t="shared" si="0"/>
        <v>17.369999999999997</v>
      </c>
      <c r="F50" s="12" t="s">
        <v>18</v>
      </c>
      <c r="G50" s="12" t="s">
        <v>66</v>
      </c>
      <c r="H50" s="13">
        <v>1100</v>
      </c>
      <c r="I50" s="13">
        <f t="shared" si="1"/>
        <v>19106.999999999996</v>
      </c>
      <c r="J50" s="13">
        <v>0</v>
      </c>
      <c r="K50" s="13">
        <f t="shared" si="4"/>
        <v>19106.999999999996</v>
      </c>
      <c r="L50" s="13">
        <v>0</v>
      </c>
      <c r="M50" s="13">
        <f t="shared" si="5"/>
        <v>19106.999999999996</v>
      </c>
      <c r="N50" s="14" t="s">
        <v>44</v>
      </c>
    </row>
    <row r="51" spans="1:14" ht="15.75" customHeight="1" x14ac:dyDescent="0.25">
      <c r="A51" s="458"/>
      <c r="B51" s="22" t="s">
        <v>58</v>
      </c>
      <c r="C51" s="22">
        <v>27.91</v>
      </c>
      <c r="D51" s="22">
        <v>9.75</v>
      </c>
      <c r="E51" s="22">
        <f t="shared" si="0"/>
        <v>18.16</v>
      </c>
      <c r="F51" s="22" t="s">
        <v>35</v>
      </c>
      <c r="G51" s="22" t="s">
        <v>66</v>
      </c>
      <c r="H51" s="23">
        <v>1100</v>
      </c>
      <c r="I51" s="23">
        <f t="shared" si="1"/>
        <v>19976</v>
      </c>
      <c r="J51" s="23">
        <v>0</v>
      </c>
      <c r="K51" s="23">
        <f t="shared" si="4"/>
        <v>19976</v>
      </c>
      <c r="L51" s="23">
        <v>0</v>
      </c>
      <c r="M51" s="23">
        <f t="shared" si="5"/>
        <v>19976</v>
      </c>
      <c r="N51" s="24" t="s">
        <v>44</v>
      </c>
    </row>
    <row r="52" spans="1:14" ht="15.75" customHeight="1" x14ac:dyDescent="0.25">
      <c r="A52" s="458"/>
      <c r="B52" s="22" t="s">
        <v>22</v>
      </c>
      <c r="C52" s="22">
        <v>29.12</v>
      </c>
      <c r="D52" s="22">
        <v>9.8000000000000007</v>
      </c>
      <c r="E52" s="22">
        <f t="shared" si="0"/>
        <v>19.32</v>
      </c>
      <c r="F52" s="22" t="s">
        <v>38</v>
      </c>
      <c r="G52" s="22" t="s">
        <v>66</v>
      </c>
      <c r="H52" s="23">
        <v>500</v>
      </c>
      <c r="I52" s="23">
        <f t="shared" si="1"/>
        <v>9660</v>
      </c>
      <c r="J52" s="23">
        <v>0</v>
      </c>
      <c r="K52" s="23">
        <f t="shared" si="4"/>
        <v>9660</v>
      </c>
      <c r="L52" s="23">
        <v>0</v>
      </c>
      <c r="M52" s="23">
        <f t="shared" si="5"/>
        <v>9660</v>
      </c>
      <c r="N52" s="24" t="s">
        <v>44</v>
      </c>
    </row>
    <row r="53" spans="1:14" ht="15.75" customHeight="1" x14ac:dyDescent="0.25">
      <c r="A53" s="458"/>
      <c r="B53" s="22" t="s">
        <v>30</v>
      </c>
      <c r="C53" s="22">
        <v>27.52</v>
      </c>
      <c r="D53" s="22">
        <v>9.75</v>
      </c>
      <c r="E53" s="22">
        <f t="shared" si="0"/>
        <v>17.77</v>
      </c>
      <c r="F53" s="22" t="s">
        <v>35</v>
      </c>
      <c r="G53" s="22" t="s">
        <v>66</v>
      </c>
      <c r="H53" s="23">
        <v>1100</v>
      </c>
      <c r="I53" s="23">
        <f t="shared" si="1"/>
        <v>19547</v>
      </c>
      <c r="J53" s="23">
        <v>0</v>
      </c>
      <c r="K53" s="23">
        <f t="shared" si="4"/>
        <v>19547</v>
      </c>
      <c r="L53" s="23">
        <v>0</v>
      </c>
      <c r="M53" s="23">
        <f t="shared" si="5"/>
        <v>19547</v>
      </c>
      <c r="N53" s="24" t="s">
        <v>44</v>
      </c>
    </row>
    <row r="54" spans="1:14" ht="15.75" customHeight="1" x14ac:dyDescent="0.25">
      <c r="A54" s="458"/>
      <c r="B54" s="22" t="s">
        <v>67</v>
      </c>
      <c r="C54" s="22">
        <v>28.23</v>
      </c>
      <c r="D54" s="22">
        <v>9.6300000000000008</v>
      </c>
      <c r="E54" s="22">
        <f t="shared" si="0"/>
        <v>18.600000000000001</v>
      </c>
      <c r="F54" s="22" t="s">
        <v>35</v>
      </c>
      <c r="G54" s="22" t="s">
        <v>66</v>
      </c>
      <c r="H54" s="23">
        <v>1100</v>
      </c>
      <c r="I54" s="23">
        <f t="shared" si="1"/>
        <v>20460</v>
      </c>
      <c r="J54" s="23">
        <v>0</v>
      </c>
      <c r="K54" s="23">
        <f t="shared" si="4"/>
        <v>20460</v>
      </c>
      <c r="L54" s="23">
        <v>0</v>
      </c>
      <c r="M54" s="23">
        <f t="shared" si="5"/>
        <v>20460</v>
      </c>
      <c r="N54" s="24" t="s">
        <v>44</v>
      </c>
    </row>
    <row r="55" spans="1:14" ht="15.75" customHeight="1" x14ac:dyDescent="0.25">
      <c r="A55" s="459"/>
      <c r="B55" s="15" t="s">
        <v>68</v>
      </c>
      <c r="C55" s="15">
        <v>33.97</v>
      </c>
      <c r="D55" s="15">
        <v>12.27</v>
      </c>
      <c r="E55" s="15">
        <f t="shared" si="0"/>
        <v>21.7</v>
      </c>
      <c r="F55" s="15" t="s">
        <v>38</v>
      </c>
      <c r="G55" s="15" t="s">
        <v>69</v>
      </c>
      <c r="H55" s="16">
        <v>500</v>
      </c>
      <c r="I55" s="16">
        <f t="shared" si="1"/>
        <v>10850</v>
      </c>
      <c r="J55" s="16">
        <v>0</v>
      </c>
      <c r="K55" s="16">
        <f t="shared" si="4"/>
        <v>10850</v>
      </c>
      <c r="L55" s="16">
        <v>0</v>
      </c>
      <c r="M55" s="16">
        <f t="shared" si="5"/>
        <v>10850</v>
      </c>
      <c r="N55" s="17" t="s">
        <v>44</v>
      </c>
    </row>
    <row r="56" spans="1:14" ht="15.75" customHeight="1" x14ac:dyDescent="0.25">
      <c r="A56" s="457">
        <v>45768</v>
      </c>
      <c r="B56" s="12" t="s">
        <v>49</v>
      </c>
      <c r="C56" s="12">
        <v>27.34</v>
      </c>
      <c r="D56" s="12">
        <v>9.5500000000000007</v>
      </c>
      <c r="E56" s="12">
        <f t="shared" si="0"/>
        <v>17.79</v>
      </c>
      <c r="F56" s="12" t="s">
        <v>26</v>
      </c>
      <c r="G56" s="12" t="s">
        <v>48</v>
      </c>
      <c r="H56" s="13">
        <v>1225</v>
      </c>
      <c r="I56" s="13">
        <f t="shared" si="1"/>
        <v>21792.75</v>
      </c>
      <c r="J56" s="13">
        <v>0</v>
      </c>
      <c r="K56" s="13">
        <f t="shared" si="4"/>
        <v>21792.75</v>
      </c>
      <c r="L56" s="13">
        <v>0</v>
      </c>
      <c r="M56" s="13">
        <f t="shared" si="5"/>
        <v>21792.75</v>
      </c>
      <c r="N56" s="14" t="s">
        <v>44</v>
      </c>
    </row>
    <row r="57" spans="1:14" ht="15.75" customHeight="1" x14ac:dyDescent="0.25">
      <c r="A57" s="459"/>
      <c r="B57" s="15" t="s">
        <v>22</v>
      </c>
      <c r="C57" s="15">
        <v>28.11</v>
      </c>
      <c r="D57" s="15">
        <v>9.82</v>
      </c>
      <c r="E57" s="15">
        <f t="shared" si="0"/>
        <v>18.29</v>
      </c>
      <c r="F57" s="15" t="s">
        <v>26</v>
      </c>
      <c r="G57" s="28" t="s">
        <v>48</v>
      </c>
      <c r="H57" s="16">
        <v>1225</v>
      </c>
      <c r="I57" s="16">
        <f t="shared" si="1"/>
        <v>22405.25</v>
      </c>
      <c r="J57" s="16">
        <v>0</v>
      </c>
      <c r="K57" s="16">
        <f t="shared" si="4"/>
        <v>22405.25</v>
      </c>
      <c r="L57" s="16">
        <v>0</v>
      </c>
      <c r="M57" s="16">
        <f t="shared" si="5"/>
        <v>22405.25</v>
      </c>
      <c r="N57" s="17" t="s">
        <v>44</v>
      </c>
    </row>
    <row r="58" spans="1:14" ht="15.75" customHeight="1" x14ac:dyDescent="0.25">
      <c r="A58" s="457">
        <v>45769</v>
      </c>
      <c r="B58" s="12" t="s">
        <v>49</v>
      </c>
      <c r="C58" s="12">
        <v>26.72</v>
      </c>
      <c r="D58" s="12">
        <v>9.5500000000000007</v>
      </c>
      <c r="E58" s="12">
        <f t="shared" si="0"/>
        <v>17.169999999999998</v>
      </c>
      <c r="F58" s="12" t="s">
        <v>26</v>
      </c>
      <c r="G58" s="12" t="s">
        <v>48</v>
      </c>
      <c r="H58" s="13">
        <v>1225</v>
      </c>
      <c r="I58" s="13">
        <f t="shared" si="1"/>
        <v>21033.249999999996</v>
      </c>
      <c r="J58" s="13">
        <v>0</v>
      </c>
      <c r="K58" s="13">
        <f t="shared" si="4"/>
        <v>21033.249999999996</v>
      </c>
      <c r="L58" s="13">
        <v>0</v>
      </c>
      <c r="M58" s="13">
        <f t="shared" si="5"/>
        <v>21033.249999999996</v>
      </c>
      <c r="N58" s="14" t="s">
        <v>44</v>
      </c>
    </row>
    <row r="59" spans="1:14" ht="15.75" customHeight="1" x14ac:dyDescent="0.25">
      <c r="A59" s="458"/>
      <c r="B59" s="22" t="s">
        <v>42</v>
      </c>
      <c r="C59" s="22">
        <v>29.43</v>
      </c>
      <c r="D59" s="22">
        <v>9.7200000000000006</v>
      </c>
      <c r="E59" s="22">
        <f t="shared" si="0"/>
        <v>19.71</v>
      </c>
      <c r="F59" s="22" t="s">
        <v>26</v>
      </c>
      <c r="G59" s="22" t="s">
        <v>48</v>
      </c>
      <c r="H59" s="23">
        <v>1225</v>
      </c>
      <c r="I59" s="23">
        <f t="shared" si="1"/>
        <v>24144.75</v>
      </c>
      <c r="J59" s="23">
        <v>0</v>
      </c>
      <c r="K59" s="23">
        <f t="shared" si="4"/>
        <v>24144.75</v>
      </c>
      <c r="L59" s="23">
        <v>0</v>
      </c>
      <c r="M59" s="23">
        <f t="shared" si="5"/>
        <v>24144.75</v>
      </c>
      <c r="N59" s="24" t="s">
        <v>44</v>
      </c>
    </row>
    <row r="60" spans="1:14" ht="15.75" customHeight="1" x14ac:dyDescent="0.25">
      <c r="A60" s="458"/>
      <c r="B60" s="22" t="s">
        <v>70</v>
      </c>
      <c r="C60" s="22">
        <v>17.440000000000001</v>
      </c>
      <c r="D60" s="22">
        <v>11.76</v>
      </c>
      <c r="E60" s="22">
        <f t="shared" si="0"/>
        <v>5.6800000000000015</v>
      </c>
      <c r="F60" s="22" t="s">
        <v>23</v>
      </c>
      <c r="G60" s="22" t="s">
        <v>71</v>
      </c>
      <c r="H60" s="23">
        <v>1350</v>
      </c>
      <c r="I60" s="23">
        <f t="shared" si="1"/>
        <v>7668.0000000000018</v>
      </c>
      <c r="J60" s="23">
        <v>0</v>
      </c>
      <c r="K60" s="23">
        <f t="shared" si="4"/>
        <v>7668.0000000000018</v>
      </c>
      <c r="L60" s="23">
        <v>18</v>
      </c>
      <c r="M60" s="23">
        <f t="shared" si="5"/>
        <v>7650.0000000000018</v>
      </c>
      <c r="N60" s="24" t="s">
        <v>20</v>
      </c>
    </row>
    <row r="61" spans="1:14" ht="15.75" customHeight="1" x14ac:dyDescent="0.25">
      <c r="A61" s="459"/>
      <c r="B61" s="15" t="s">
        <v>42</v>
      </c>
      <c r="C61" s="15">
        <v>29.31</v>
      </c>
      <c r="D61" s="15">
        <v>9.7200000000000006</v>
      </c>
      <c r="E61" s="15">
        <f t="shared" si="0"/>
        <v>19.589999999999996</v>
      </c>
      <c r="F61" s="15" t="s">
        <v>23</v>
      </c>
      <c r="G61" s="15" t="s">
        <v>72</v>
      </c>
      <c r="H61" s="16">
        <v>1300</v>
      </c>
      <c r="I61" s="16">
        <f t="shared" si="1"/>
        <v>25466.999999999996</v>
      </c>
      <c r="J61" s="16">
        <v>0</v>
      </c>
      <c r="K61" s="16">
        <f t="shared" si="4"/>
        <v>25466.999999999996</v>
      </c>
      <c r="L61" s="16">
        <v>0</v>
      </c>
      <c r="M61" s="16">
        <f t="shared" si="5"/>
        <v>25466.999999999996</v>
      </c>
      <c r="N61" s="17" t="s">
        <v>44</v>
      </c>
    </row>
    <row r="62" spans="1:14" ht="15.75" customHeight="1" x14ac:dyDescent="0.25">
      <c r="A62" s="457">
        <v>45770</v>
      </c>
      <c r="B62" s="12" t="s">
        <v>67</v>
      </c>
      <c r="C62" s="12">
        <v>29.91</v>
      </c>
      <c r="D62" s="12">
        <v>9.59</v>
      </c>
      <c r="E62" s="12">
        <f t="shared" si="0"/>
        <v>20.32</v>
      </c>
      <c r="F62" s="12" t="s">
        <v>23</v>
      </c>
      <c r="G62" s="12" t="s">
        <v>73</v>
      </c>
      <c r="H62" s="13">
        <v>1350</v>
      </c>
      <c r="I62" s="13">
        <f t="shared" si="1"/>
        <v>27432</v>
      </c>
      <c r="J62" s="13">
        <v>1500</v>
      </c>
      <c r="K62" s="13">
        <f t="shared" si="4"/>
        <v>28932</v>
      </c>
      <c r="L62" s="13">
        <v>0</v>
      </c>
      <c r="M62" s="13">
        <f t="shared" si="5"/>
        <v>28932</v>
      </c>
      <c r="N62" s="14" t="s">
        <v>34</v>
      </c>
    </row>
    <row r="63" spans="1:14" ht="15.75" customHeight="1" x14ac:dyDescent="0.25">
      <c r="A63" s="458"/>
      <c r="B63" s="22" t="s">
        <v>22</v>
      </c>
      <c r="C63" s="22">
        <v>28.85</v>
      </c>
      <c r="D63" s="22">
        <v>9.81</v>
      </c>
      <c r="E63" s="22">
        <f t="shared" si="0"/>
        <v>19.04</v>
      </c>
      <c r="F63" s="22" t="s">
        <v>23</v>
      </c>
      <c r="G63" s="22" t="s">
        <v>73</v>
      </c>
      <c r="H63" s="23">
        <v>1350</v>
      </c>
      <c r="I63" s="23">
        <f t="shared" si="1"/>
        <v>25704</v>
      </c>
      <c r="J63" s="23">
        <v>1500</v>
      </c>
      <c r="K63" s="23">
        <f t="shared" si="4"/>
        <v>27204</v>
      </c>
      <c r="L63" s="23">
        <v>0</v>
      </c>
      <c r="M63" s="23">
        <f t="shared" si="5"/>
        <v>27204</v>
      </c>
      <c r="N63" s="24" t="s">
        <v>34</v>
      </c>
    </row>
    <row r="64" spans="1:14" ht="15.75" customHeight="1" x14ac:dyDescent="0.25">
      <c r="A64" s="458"/>
      <c r="B64" s="22" t="s">
        <v>49</v>
      </c>
      <c r="C64" s="22">
        <v>29.15</v>
      </c>
      <c r="D64" s="22">
        <v>9.59</v>
      </c>
      <c r="E64" s="22">
        <f t="shared" si="0"/>
        <v>19.559999999999999</v>
      </c>
      <c r="F64" s="22" t="s">
        <v>23</v>
      </c>
      <c r="G64" s="22" t="s">
        <v>33</v>
      </c>
      <c r="H64" s="23">
        <v>1300</v>
      </c>
      <c r="I64" s="23">
        <f t="shared" si="1"/>
        <v>25428</v>
      </c>
      <c r="J64" s="23">
        <v>0</v>
      </c>
      <c r="K64" s="23">
        <f t="shared" si="4"/>
        <v>25428</v>
      </c>
      <c r="L64" s="23">
        <v>0</v>
      </c>
      <c r="M64" s="23">
        <f t="shared" si="5"/>
        <v>25428</v>
      </c>
      <c r="N64" s="24" t="s">
        <v>34</v>
      </c>
    </row>
    <row r="65" spans="1:14" ht="15.75" customHeight="1" x14ac:dyDescent="0.25">
      <c r="A65" s="459"/>
      <c r="B65" s="15" t="s">
        <v>49</v>
      </c>
      <c r="C65" s="15">
        <v>31.03</v>
      </c>
      <c r="D65" s="15">
        <v>9.57</v>
      </c>
      <c r="E65" s="15">
        <f t="shared" si="0"/>
        <v>21.46</v>
      </c>
      <c r="F65" s="15" t="s">
        <v>23</v>
      </c>
      <c r="G65" s="15" t="s">
        <v>33</v>
      </c>
      <c r="H65" s="16">
        <v>1300</v>
      </c>
      <c r="I65" s="16">
        <f t="shared" si="1"/>
        <v>27898</v>
      </c>
      <c r="J65" s="16">
        <v>0</v>
      </c>
      <c r="K65" s="16">
        <f t="shared" si="4"/>
        <v>27898</v>
      </c>
      <c r="L65" s="16">
        <v>0</v>
      </c>
      <c r="M65" s="16">
        <f t="shared" si="5"/>
        <v>27898</v>
      </c>
      <c r="N65" s="17" t="s">
        <v>34</v>
      </c>
    </row>
    <row r="66" spans="1:14" ht="15.75" customHeight="1" x14ac:dyDescent="0.25">
      <c r="A66" s="457">
        <v>45771</v>
      </c>
      <c r="B66" s="12" t="s">
        <v>22</v>
      </c>
      <c r="C66" s="12">
        <v>28.13</v>
      </c>
      <c r="D66" s="12">
        <v>9.81</v>
      </c>
      <c r="E66" s="12">
        <f t="shared" si="0"/>
        <v>18.32</v>
      </c>
      <c r="F66" s="12" t="s">
        <v>23</v>
      </c>
      <c r="G66" s="12" t="s">
        <v>73</v>
      </c>
      <c r="H66" s="13">
        <v>1350</v>
      </c>
      <c r="I66" s="13">
        <f t="shared" si="1"/>
        <v>24732</v>
      </c>
      <c r="J66" s="13">
        <v>1500</v>
      </c>
      <c r="K66" s="13">
        <f t="shared" si="4"/>
        <v>26232</v>
      </c>
      <c r="L66" s="13">
        <v>0</v>
      </c>
      <c r="M66" s="13">
        <f t="shared" si="5"/>
        <v>26232</v>
      </c>
      <c r="N66" s="14" t="s">
        <v>34</v>
      </c>
    </row>
    <row r="67" spans="1:14" ht="15.75" customHeight="1" x14ac:dyDescent="0.25">
      <c r="A67" s="459"/>
      <c r="B67" s="15" t="s">
        <v>49</v>
      </c>
      <c r="C67" s="15">
        <v>29.62</v>
      </c>
      <c r="D67" s="15">
        <v>9.56</v>
      </c>
      <c r="E67" s="15">
        <f t="shared" si="0"/>
        <v>20.060000000000002</v>
      </c>
      <c r="F67" s="15" t="s">
        <v>23</v>
      </c>
      <c r="G67" s="15" t="s">
        <v>24</v>
      </c>
      <c r="H67" s="16">
        <v>1350</v>
      </c>
      <c r="I67" s="16">
        <f t="shared" si="1"/>
        <v>27081.000000000004</v>
      </c>
      <c r="J67" s="16">
        <v>2000</v>
      </c>
      <c r="K67" s="16">
        <f t="shared" si="4"/>
        <v>29081.000000000004</v>
      </c>
      <c r="L67" s="16">
        <v>81</v>
      </c>
      <c r="M67" s="16">
        <f t="shared" si="5"/>
        <v>29000.000000000004</v>
      </c>
      <c r="N67" s="17" t="s">
        <v>25</v>
      </c>
    </row>
    <row r="68" spans="1:14" ht="15.75" customHeight="1" x14ac:dyDescent="0.25">
      <c r="A68" s="457">
        <v>45773</v>
      </c>
      <c r="B68" s="12" t="s">
        <v>49</v>
      </c>
      <c r="C68" s="12">
        <v>27.74</v>
      </c>
      <c r="D68" s="12">
        <v>9.5399999999999991</v>
      </c>
      <c r="E68" s="12">
        <f t="shared" si="0"/>
        <v>18.2</v>
      </c>
      <c r="F68" s="12" t="s">
        <v>23</v>
      </c>
      <c r="G68" s="12" t="s">
        <v>73</v>
      </c>
      <c r="H68" s="13">
        <v>1350</v>
      </c>
      <c r="I68" s="13">
        <f t="shared" si="1"/>
        <v>24570</v>
      </c>
      <c r="J68" s="13">
        <v>1500</v>
      </c>
      <c r="K68" s="13">
        <f t="shared" si="4"/>
        <v>26070</v>
      </c>
      <c r="L68" s="13">
        <v>0</v>
      </c>
      <c r="M68" s="13">
        <f t="shared" si="5"/>
        <v>26070</v>
      </c>
      <c r="N68" s="14" t="s">
        <v>34</v>
      </c>
    </row>
    <row r="69" spans="1:14" ht="15.75" customHeight="1" x14ac:dyDescent="0.25">
      <c r="A69" s="458"/>
      <c r="B69" s="22" t="s">
        <v>74</v>
      </c>
      <c r="C69" s="22">
        <v>2.4700000000000002</v>
      </c>
      <c r="D69" s="22">
        <v>1.68</v>
      </c>
      <c r="E69" s="22">
        <f t="shared" si="0"/>
        <v>0.79000000000000026</v>
      </c>
      <c r="F69" s="22" t="s">
        <v>18</v>
      </c>
      <c r="G69" s="22" t="s">
        <v>75</v>
      </c>
      <c r="H69" s="23">
        <v>1250</v>
      </c>
      <c r="I69" s="23">
        <f t="shared" si="1"/>
        <v>987.50000000000034</v>
      </c>
      <c r="J69" s="23">
        <v>0</v>
      </c>
      <c r="K69" s="23">
        <f t="shared" si="4"/>
        <v>987.50000000000034</v>
      </c>
      <c r="L69" s="23">
        <v>0.5</v>
      </c>
      <c r="M69" s="23">
        <f t="shared" si="5"/>
        <v>987.00000000000034</v>
      </c>
      <c r="N69" s="24" t="s">
        <v>25</v>
      </c>
    </row>
    <row r="70" spans="1:14" ht="15.75" customHeight="1" x14ac:dyDescent="0.25">
      <c r="A70" s="458"/>
      <c r="B70" s="22" t="s">
        <v>49</v>
      </c>
      <c r="C70" s="22">
        <v>19.84</v>
      </c>
      <c r="D70" s="22">
        <v>9.5399999999999991</v>
      </c>
      <c r="E70" s="22">
        <f t="shared" si="0"/>
        <v>10.3</v>
      </c>
      <c r="F70" s="22" t="s">
        <v>18</v>
      </c>
      <c r="G70" s="22" t="s">
        <v>64</v>
      </c>
      <c r="H70" s="23">
        <v>1150</v>
      </c>
      <c r="I70" s="23">
        <f t="shared" si="1"/>
        <v>11845</v>
      </c>
      <c r="J70" s="23">
        <v>700</v>
      </c>
      <c r="K70" s="23">
        <f t="shared" si="4"/>
        <v>12545</v>
      </c>
      <c r="L70" s="23">
        <v>45</v>
      </c>
      <c r="M70" s="23">
        <f t="shared" si="5"/>
        <v>12500</v>
      </c>
      <c r="N70" s="24" t="s">
        <v>20</v>
      </c>
    </row>
    <row r="71" spans="1:14" ht="15.75" customHeight="1" x14ac:dyDescent="0.25">
      <c r="A71" s="459"/>
      <c r="B71" s="15" t="s">
        <v>40</v>
      </c>
      <c r="C71" s="15">
        <v>7.03</v>
      </c>
      <c r="D71" s="15">
        <v>3.17</v>
      </c>
      <c r="E71" s="15">
        <f t="shared" si="0"/>
        <v>3.8600000000000003</v>
      </c>
      <c r="F71" s="15" t="s">
        <v>23</v>
      </c>
      <c r="G71" s="15" t="s">
        <v>76</v>
      </c>
      <c r="H71" s="16">
        <v>1350</v>
      </c>
      <c r="I71" s="16">
        <f t="shared" si="1"/>
        <v>5211</v>
      </c>
      <c r="J71" s="16">
        <v>0</v>
      </c>
      <c r="K71" s="16">
        <f t="shared" si="4"/>
        <v>5211</v>
      </c>
      <c r="L71" s="16">
        <v>11</v>
      </c>
      <c r="M71" s="16">
        <f t="shared" si="5"/>
        <v>5200</v>
      </c>
      <c r="N71" s="17" t="s">
        <v>20</v>
      </c>
    </row>
    <row r="72" spans="1:14" ht="15.75" customHeight="1" x14ac:dyDescent="0.25">
      <c r="A72" s="4">
        <v>45775</v>
      </c>
      <c r="B72" s="5" t="s">
        <v>49</v>
      </c>
      <c r="C72" s="5">
        <v>29.31</v>
      </c>
      <c r="D72" s="5">
        <v>9.52</v>
      </c>
      <c r="E72" s="5">
        <f t="shared" si="0"/>
        <v>19.79</v>
      </c>
      <c r="F72" s="5" t="s">
        <v>35</v>
      </c>
      <c r="G72" s="5" t="s">
        <v>66</v>
      </c>
      <c r="H72" s="6">
        <v>1100</v>
      </c>
      <c r="I72" s="6">
        <f t="shared" si="1"/>
        <v>21769</v>
      </c>
      <c r="J72" s="6">
        <v>0</v>
      </c>
      <c r="K72" s="6">
        <f t="shared" si="4"/>
        <v>21769</v>
      </c>
      <c r="L72" s="6">
        <v>0</v>
      </c>
      <c r="M72" s="6">
        <f t="shared" si="5"/>
        <v>21769</v>
      </c>
      <c r="N72" s="7" t="s">
        <v>44</v>
      </c>
    </row>
    <row r="73" spans="1:14" ht="15.75" customHeight="1" x14ac:dyDescent="0.25">
      <c r="A73" s="457">
        <v>45776</v>
      </c>
      <c r="B73" s="12" t="s">
        <v>42</v>
      </c>
      <c r="C73" s="12">
        <v>31.05</v>
      </c>
      <c r="D73" s="12">
        <v>9.7100000000000009</v>
      </c>
      <c r="E73" s="12">
        <f t="shared" si="0"/>
        <v>21.34</v>
      </c>
      <c r="F73" s="12" t="s">
        <v>35</v>
      </c>
      <c r="G73" s="12" t="s">
        <v>66</v>
      </c>
      <c r="H73" s="13">
        <v>1100</v>
      </c>
      <c r="I73" s="13">
        <f t="shared" si="1"/>
        <v>23474</v>
      </c>
      <c r="J73" s="13">
        <v>0</v>
      </c>
      <c r="K73" s="13">
        <f t="shared" si="4"/>
        <v>23474</v>
      </c>
      <c r="L73" s="13">
        <v>0</v>
      </c>
      <c r="M73" s="13">
        <f t="shared" si="5"/>
        <v>23474</v>
      </c>
      <c r="N73" s="14" t="s">
        <v>44</v>
      </c>
    </row>
    <row r="74" spans="1:14" ht="15.75" customHeight="1" x14ac:dyDescent="0.25">
      <c r="A74" s="458"/>
      <c r="B74" s="22" t="s">
        <v>67</v>
      </c>
      <c r="C74" s="22">
        <v>27.28</v>
      </c>
      <c r="D74" s="22">
        <v>9.57</v>
      </c>
      <c r="E74" s="22">
        <f t="shared" si="0"/>
        <v>17.71</v>
      </c>
      <c r="F74" s="22" t="s">
        <v>35</v>
      </c>
      <c r="G74" s="22" t="s">
        <v>66</v>
      </c>
      <c r="H74" s="23">
        <v>1100</v>
      </c>
      <c r="I74" s="23">
        <f t="shared" si="1"/>
        <v>19481</v>
      </c>
      <c r="J74" s="23">
        <v>0</v>
      </c>
      <c r="K74" s="23">
        <f t="shared" si="4"/>
        <v>19481</v>
      </c>
      <c r="L74" s="23">
        <v>0</v>
      </c>
      <c r="M74" s="23">
        <f t="shared" si="5"/>
        <v>19481</v>
      </c>
      <c r="N74" s="24" t="s">
        <v>44</v>
      </c>
    </row>
    <row r="75" spans="1:14" ht="15.75" customHeight="1" x14ac:dyDescent="0.25">
      <c r="A75" s="458"/>
      <c r="B75" s="22" t="s">
        <v>47</v>
      </c>
      <c r="C75" s="22">
        <v>27.32</v>
      </c>
      <c r="D75" s="22">
        <v>9.68</v>
      </c>
      <c r="E75" s="22">
        <f t="shared" si="0"/>
        <v>17.64</v>
      </c>
      <c r="F75" s="22" t="s">
        <v>35</v>
      </c>
      <c r="G75" s="22" t="s">
        <v>66</v>
      </c>
      <c r="H75" s="23">
        <v>1100</v>
      </c>
      <c r="I75" s="23">
        <f t="shared" si="1"/>
        <v>19404</v>
      </c>
      <c r="J75" s="23">
        <v>0</v>
      </c>
      <c r="K75" s="23">
        <f t="shared" si="4"/>
        <v>19404</v>
      </c>
      <c r="L75" s="23">
        <v>0</v>
      </c>
      <c r="M75" s="23">
        <f t="shared" si="5"/>
        <v>19404</v>
      </c>
      <c r="N75" s="24" t="s">
        <v>44</v>
      </c>
    </row>
    <row r="76" spans="1:14" ht="15.75" customHeight="1" x14ac:dyDescent="0.25">
      <c r="A76" s="458"/>
      <c r="B76" s="22" t="s">
        <v>51</v>
      </c>
      <c r="C76" s="22">
        <v>27.03</v>
      </c>
      <c r="D76" s="22">
        <v>9.76</v>
      </c>
      <c r="E76" s="22">
        <f t="shared" si="0"/>
        <v>17.270000000000003</v>
      </c>
      <c r="F76" s="22" t="s">
        <v>35</v>
      </c>
      <c r="G76" s="22" t="s">
        <v>66</v>
      </c>
      <c r="H76" s="23">
        <v>1100</v>
      </c>
      <c r="I76" s="23">
        <f t="shared" si="1"/>
        <v>18997.000000000004</v>
      </c>
      <c r="J76" s="23">
        <v>0</v>
      </c>
      <c r="K76" s="23">
        <f t="shared" si="4"/>
        <v>18997.000000000004</v>
      </c>
      <c r="L76" s="23">
        <v>0</v>
      </c>
      <c r="M76" s="23">
        <f t="shared" si="5"/>
        <v>18997.000000000004</v>
      </c>
      <c r="N76" s="24" t="s">
        <v>44</v>
      </c>
    </row>
    <row r="77" spans="1:14" ht="15.75" customHeight="1" x14ac:dyDescent="0.25">
      <c r="A77" s="458"/>
      <c r="B77" s="33" t="s">
        <v>22</v>
      </c>
      <c r="C77" s="33">
        <v>26.29</v>
      </c>
      <c r="D77" s="33">
        <v>9.85</v>
      </c>
      <c r="E77" s="33">
        <f t="shared" si="0"/>
        <v>16.439999999999998</v>
      </c>
      <c r="F77" s="33" t="s">
        <v>23</v>
      </c>
      <c r="G77" s="33" t="s">
        <v>73</v>
      </c>
      <c r="H77" s="34">
        <v>1350</v>
      </c>
      <c r="I77" s="34">
        <f t="shared" si="1"/>
        <v>22193.999999999996</v>
      </c>
      <c r="J77" s="34">
        <v>1500</v>
      </c>
      <c r="K77" s="34">
        <f t="shared" si="4"/>
        <v>23693.999999999996</v>
      </c>
      <c r="L77" s="34">
        <v>0</v>
      </c>
      <c r="M77" s="34">
        <f t="shared" si="5"/>
        <v>23693.999999999996</v>
      </c>
      <c r="N77" s="35" t="s">
        <v>34</v>
      </c>
    </row>
    <row r="78" spans="1:14" ht="15.75" customHeight="1" x14ac:dyDescent="0.25">
      <c r="A78" s="457">
        <v>45777</v>
      </c>
      <c r="B78" s="12" t="s">
        <v>77</v>
      </c>
      <c r="C78" s="36">
        <v>6.62</v>
      </c>
      <c r="D78" s="36">
        <v>3.13</v>
      </c>
      <c r="E78" s="36">
        <f t="shared" si="0"/>
        <v>3.49</v>
      </c>
      <c r="F78" s="12" t="s">
        <v>18</v>
      </c>
      <c r="G78" s="12" t="s">
        <v>78</v>
      </c>
      <c r="H78" s="13">
        <v>1200</v>
      </c>
      <c r="I78" s="13">
        <f t="shared" si="1"/>
        <v>4188</v>
      </c>
      <c r="J78" s="13">
        <v>0</v>
      </c>
      <c r="K78" s="13">
        <f t="shared" si="4"/>
        <v>4188</v>
      </c>
      <c r="L78" s="13"/>
      <c r="M78" s="13">
        <f t="shared" si="5"/>
        <v>4188</v>
      </c>
      <c r="N78" s="14" t="s">
        <v>20</v>
      </c>
    </row>
    <row r="79" spans="1:14" ht="15.75" customHeight="1" x14ac:dyDescent="0.25">
      <c r="A79" s="458"/>
      <c r="B79" s="22" t="s">
        <v>49</v>
      </c>
      <c r="C79" s="37">
        <v>28.25</v>
      </c>
      <c r="D79" s="37">
        <v>9.56</v>
      </c>
      <c r="E79" s="37">
        <f t="shared" si="0"/>
        <v>18.689999999999998</v>
      </c>
      <c r="F79" s="22" t="s">
        <v>35</v>
      </c>
      <c r="G79" s="22" t="s">
        <v>79</v>
      </c>
      <c r="H79" s="23">
        <v>1200</v>
      </c>
      <c r="I79" s="23">
        <f t="shared" si="1"/>
        <v>22427.999999999996</v>
      </c>
      <c r="J79" s="23">
        <v>3500</v>
      </c>
      <c r="K79" s="23">
        <f t="shared" si="4"/>
        <v>25927.999999999996</v>
      </c>
      <c r="L79" s="23">
        <v>0</v>
      </c>
      <c r="M79" s="23">
        <f t="shared" si="5"/>
        <v>25927.999999999996</v>
      </c>
      <c r="N79" s="24" t="s">
        <v>34</v>
      </c>
    </row>
    <row r="80" spans="1:14" ht="15.75" customHeight="1" x14ac:dyDescent="0.25">
      <c r="A80" s="458"/>
      <c r="B80" s="22" t="s">
        <v>42</v>
      </c>
      <c r="C80" s="37">
        <v>29.51</v>
      </c>
      <c r="D80" s="37">
        <v>9.7200000000000006</v>
      </c>
      <c r="E80" s="37">
        <f t="shared" si="0"/>
        <v>19.79</v>
      </c>
      <c r="F80" s="22" t="s">
        <v>26</v>
      </c>
      <c r="G80" s="22" t="s">
        <v>80</v>
      </c>
      <c r="H80" s="23">
        <v>1365</v>
      </c>
      <c r="I80" s="23">
        <f t="shared" si="1"/>
        <v>27013.35</v>
      </c>
      <c r="J80" s="23"/>
      <c r="K80" s="23">
        <f t="shared" si="4"/>
        <v>27013.35</v>
      </c>
      <c r="L80" s="23"/>
      <c r="M80" s="23">
        <f t="shared" si="5"/>
        <v>27013.35</v>
      </c>
      <c r="N80" s="24" t="s">
        <v>44</v>
      </c>
    </row>
    <row r="81" spans="1:17" ht="15.75" customHeight="1" x14ac:dyDescent="0.25">
      <c r="A81" s="458"/>
      <c r="B81" s="22" t="s">
        <v>17</v>
      </c>
      <c r="C81" s="37">
        <v>4.3600000000000003</v>
      </c>
      <c r="D81" s="37">
        <v>2.88</v>
      </c>
      <c r="E81" s="37">
        <f t="shared" si="0"/>
        <v>1.4800000000000004</v>
      </c>
      <c r="F81" s="22" t="s">
        <v>23</v>
      </c>
      <c r="G81" s="22" t="s">
        <v>81</v>
      </c>
      <c r="H81" s="23">
        <v>1350</v>
      </c>
      <c r="I81" s="23">
        <f t="shared" si="1"/>
        <v>1998.0000000000007</v>
      </c>
      <c r="J81" s="23">
        <v>0</v>
      </c>
      <c r="K81" s="23">
        <f t="shared" si="4"/>
        <v>1998.0000000000007</v>
      </c>
      <c r="L81" s="23">
        <v>0</v>
      </c>
      <c r="M81" s="23">
        <f t="shared" si="5"/>
        <v>1998.0000000000007</v>
      </c>
      <c r="N81" s="24" t="s">
        <v>20</v>
      </c>
      <c r="O81" s="38"/>
    </row>
    <row r="82" spans="1:17" ht="15.75" customHeight="1" x14ac:dyDescent="0.25">
      <c r="A82" s="458"/>
      <c r="B82" s="22" t="s">
        <v>49</v>
      </c>
      <c r="C82" s="37">
        <v>28.32</v>
      </c>
      <c r="D82" s="37">
        <v>9.56</v>
      </c>
      <c r="E82" s="37">
        <f t="shared" si="0"/>
        <v>18.759999999999998</v>
      </c>
      <c r="F82" s="22" t="s">
        <v>26</v>
      </c>
      <c r="G82" s="22" t="s">
        <v>80</v>
      </c>
      <c r="H82" s="23">
        <v>1365</v>
      </c>
      <c r="I82" s="23">
        <f t="shared" si="1"/>
        <v>25607.399999999998</v>
      </c>
      <c r="J82" s="23"/>
      <c r="K82" s="23">
        <f t="shared" si="4"/>
        <v>25607.399999999998</v>
      </c>
      <c r="L82" s="23"/>
      <c r="M82" s="23">
        <f t="shared" si="5"/>
        <v>25607.399999999998</v>
      </c>
      <c r="N82" s="24" t="s">
        <v>44</v>
      </c>
      <c r="O82" s="38"/>
    </row>
    <row r="83" spans="1:17" ht="15.75" customHeight="1" x14ac:dyDescent="0.25">
      <c r="A83" s="460"/>
      <c r="B83" s="33" t="s">
        <v>49</v>
      </c>
      <c r="C83" s="39">
        <v>13.75</v>
      </c>
      <c r="D83" s="39">
        <v>9.56</v>
      </c>
      <c r="E83" s="39">
        <f t="shared" si="0"/>
        <v>4.1899999999999995</v>
      </c>
      <c r="F83" s="33" t="s">
        <v>23</v>
      </c>
      <c r="G83" s="33" t="s">
        <v>82</v>
      </c>
      <c r="H83" s="34">
        <v>1350</v>
      </c>
      <c r="I83" s="34">
        <f t="shared" si="1"/>
        <v>5656.4999999999991</v>
      </c>
      <c r="J83" s="34">
        <v>500</v>
      </c>
      <c r="K83" s="34">
        <f t="shared" si="4"/>
        <v>6156.4999999999991</v>
      </c>
      <c r="L83" s="34">
        <v>56</v>
      </c>
      <c r="M83" s="34">
        <f t="shared" si="5"/>
        <v>6100.4999999999991</v>
      </c>
      <c r="N83" s="35" t="s">
        <v>20</v>
      </c>
      <c r="O83" s="38"/>
    </row>
    <row r="84" spans="1:17" ht="15.75" customHeight="1" x14ac:dyDescent="0.25">
      <c r="A84" s="472" t="s">
        <v>83</v>
      </c>
      <c r="B84" s="462"/>
      <c r="C84" s="40">
        <f t="shared" ref="C84:E84" si="6">SUM(C3:C83)</f>
        <v>1998.6899999999991</v>
      </c>
      <c r="D84" s="40">
        <f t="shared" si="6"/>
        <v>719.10999999999967</v>
      </c>
      <c r="E84" s="40">
        <f t="shared" si="6"/>
        <v>1279.58</v>
      </c>
      <c r="F84" s="41"/>
      <c r="G84" s="41"/>
      <c r="H84" s="42">
        <f t="shared" ref="H84:M84" si="7">SUM(H3:H83)</f>
        <v>97105</v>
      </c>
      <c r="I84" s="42">
        <f t="shared" si="7"/>
        <v>1507438</v>
      </c>
      <c r="J84" s="42">
        <f t="shared" si="7"/>
        <v>46200</v>
      </c>
      <c r="K84" s="42">
        <f t="shared" si="7"/>
        <v>1553644</v>
      </c>
      <c r="L84" s="42">
        <f t="shared" si="7"/>
        <v>489</v>
      </c>
      <c r="M84" s="42">
        <f t="shared" si="7"/>
        <v>1553708</v>
      </c>
      <c r="N84" s="43"/>
      <c r="O84" s="38"/>
    </row>
    <row r="85" spans="1:17" ht="15.75" customHeight="1" x14ac:dyDescent="0.25">
      <c r="A85" s="44"/>
      <c r="B85" s="45"/>
      <c r="C85" s="45"/>
      <c r="D85" s="45"/>
      <c r="E85" s="45"/>
      <c r="F85" s="45"/>
      <c r="G85" s="45"/>
      <c r="H85" s="46"/>
      <c r="I85" s="46"/>
      <c r="J85" s="46"/>
      <c r="K85" s="46"/>
      <c r="L85" s="46"/>
      <c r="M85" s="46"/>
      <c r="N85" s="45"/>
      <c r="O85" s="38"/>
    </row>
    <row r="86" spans="1:17" ht="15.75" customHeight="1" thickBot="1" x14ac:dyDescent="0.3">
      <c r="A86" s="44"/>
      <c r="B86" s="45"/>
      <c r="C86" s="45"/>
      <c r="D86" s="45"/>
      <c r="E86" s="45"/>
      <c r="F86" s="45"/>
      <c r="G86" s="45"/>
      <c r="H86" s="46"/>
      <c r="I86" s="46"/>
      <c r="J86" s="46"/>
      <c r="K86" s="46"/>
      <c r="L86" s="46"/>
      <c r="M86" s="46"/>
      <c r="N86" s="45"/>
      <c r="O86" s="38"/>
    </row>
    <row r="87" spans="1:17" ht="30.75" customHeight="1" thickBot="1" x14ac:dyDescent="0.3">
      <c r="A87" s="463" t="s">
        <v>84</v>
      </c>
      <c r="B87" s="464"/>
      <c r="C87" s="464"/>
      <c r="D87" s="464"/>
      <c r="E87" s="464"/>
      <c r="F87" s="464"/>
      <c r="G87" s="464"/>
      <c r="H87" s="464"/>
      <c r="I87" s="464"/>
      <c r="J87" s="464"/>
      <c r="K87" s="464"/>
      <c r="L87" s="464"/>
      <c r="M87" s="464"/>
      <c r="N87" s="465"/>
      <c r="O87" s="38"/>
    </row>
    <row r="88" spans="1:17" ht="15.75" customHeight="1" thickBot="1" x14ac:dyDescent="0.3">
      <c r="A88" s="47" t="s">
        <v>1</v>
      </c>
      <c r="B88" s="48" t="s">
        <v>2</v>
      </c>
      <c r="C88" s="49" t="s">
        <v>3</v>
      </c>
      <c r="D88" s="49" t="s">
        <v>4</v>
      </c>
      <c r="E88" s="49" t="s">
        <v>5</v>
      </c>
      <c r="F88" s="48" t="s">
        <v>6</v>
      </c>
      <c r="G88" s="48" t="s">
        <v>7</v>
      </c>
      <c r="H88" s="50" t="s">
        <v>8</v>
      </c>
      <c r="I88" s="48" t="s">
        <v>9</v>
      </c>
      <c r="J88" s="50" t="s">
        <v>10</v>
      </c>
      <c r="K88" s="48" t="s">
        <v>11</v>
      </c>
      <c r="L88" s="50" t="s">
        <v>12</v>
      </c>
      <c r="M88" s="48" t="s">
        <v>13</v>
      </c>
      <c r="N88" s="51" t="s">
        <v>14</v>
      </c>
      <c r="O88" s="38"/>
      <c r="P88" s="1" t="s">
        <v>15</v>
      </c>
      <c r="Q88" s="3" t="s">
        <v>16</v>
      </c>
    </row>
    <row r="89" spans="1:17" ht="15.75" customHeight="1" x14ac:dyDescent="0.25">
      <c r="A89" s="457">
        <v>45778</v>
      </c>
      <c r="B89" s="12" t="s">
        <v>42</v>
      </c>
      <c r="C89" s="36">
        <v>28.09</v>
      </c>
      <c r="D89" s="36">
        <v>9.7100000000000009</v>
      </c>
      <c r="E89" s="36">
        <f t="shared" ref="E89:E343" si="8">C89-D89</f>
        <v>18.38</v>
      </c>
      <c r="F89" s="12" t="s">
        <v>23</v>
      </c>
      <c r="G89" s="12" t="s">
        <v>85</v>
      </c>
      <c r="H89" s="13">
        <v>1350</v>
      </c>
      <c r="I89" s="13">
        <f t="shared" ref="I89:I343" si="9">E89*H89</f>
        <v>24813</v>
      </c>
      <c r="J89" s="13">
        <v>1500</v>
      </c>
      <c r="K89" s="13">
        <f t="shared" ref="K89:K343" si="10">I89+J89</f>
        <v>26313</v>
      </c>
      <c r="L89" s="13">
        <v>0</v>
      </c>
      <c r="M89" s="13">
        <f t="shared" ref="M89:M343" si="11">K89-L89</f>
        <v>26313</v>
      </c>
      <c r="N89" s="14" t="s">
        <v>34</v>
      </c>
      <c r="O89" s="38"/>
      <c r="P89" s="8" t="s">
        <v>21</v>
      </c>
      <c r="Q89" s="9">
        <v>1244.8699999999999</v>
      </c>
    </row>
    <row r="90" spans="1:17" ht="15.75" customHeight="1" x14ac:dyDescent="0.25">
      <c r="A90" s="458"/>
      <c r="B90" s="22" t="s">
        <v>49</v>
      </c>
      <c r="C90" s="37">
        <v>28.25</v>
      </c>
      <c r="D90" s="37">
        <v>9.52</v>
      </c>
      <c r="E90" s="37">
        <f t="shared" si="8"/>
        <v>18.73</v>
      </c>
      <c r="F90" s="22" t="s">
        <v>23</v>
      </c>
      <c r="G90" s="22" t="s">
        <v>85</v>
      </c>
      <c r="H90" s="23">
        <v>1350</v>
      </c>
      <c r="I90" s="23">
        <f t="shared" si="9"/>
        <v>25285.5</v>
      </c>
      <c r="J90" s="23">
        <v>1500</v>
      </c>
      <c r="K90" s="23">
        <f t="shared" si="10"/>
        <v>26785.5</v>
      </c>
      <c r="L90" s="23">
        <v>0.5</v>
      </c>
      <c r="M90" s="23">
        <f t="shared" si="11"/>
        <v>26785</v>
      </c>
      <c r="N90" s="24" t="s">
        <v>34</v>
      </c>
      <c r="O90" s="38"/>
      <c r="P90" s="10" t="s">
        <v>26</v>
      </c>
      <c r="Q90" s="11">
        <v>1598.62</v>
      </c>
    </row>
    <row r="91" spans="1:17" ht="15.75" customHeight="1" thickBot="1" x14ac:dyDescent="0.3">
      <c r="A91" s="459"/>
      <c r="B91" s="15" t="s">
        <v>86</v>
      </c>
      <c r="C91" s="52">
        <v>36.53</v>
      </c>
      <c r="D91" s="52">
        <v>15.12</v>
      </c>
      <c r="E91" s="52">
        <f t="shared" si="8"/>
        <v>21.410000000000004</v>
      </c>
      <c r="F91" s="15" t="s">
        <v>23</v>
      </c>
      <c r="G91" s="15" t="s">
        <v>87</v>
      </c>
      <c r="H91" s="16">
        <v>1350</v>
      </c>
      <c r="I91" s="16">
        <f t="shared" si="9"/>
        <v>28903.500000000004</v>
      </c>
      <c r="J91" s="16">
        <v>0</v>
      </c>
      <c r="K91" s="16">
        <f t="shared" si="10"/>
        <v>28903.500000000004</v>
      </c>
      <c r="L91" s="16">
        <v>3.5</v>
      </c>
      <c r="M91" s="16">
        <f t="shared" si="11"/>
        <v>28900.000000000004</v>
      </c>
      <c r="N91" s="17" t="s">
        <v>25</v>
      </c>
      <c r="O91" s="38"/>
      <c r="P91" s="10" t="s">
        <v>29</v>
      </c>
      <c r="Q91" s="11">
        <v>27.57</v>
      </c>
    </row>
    <row r="92" spans="1:17" ht="15.75" customHeight="1" x14ac:dyDescent="0.25">
      <c r="A92" s="457">
        <v>45780</v>
      </c>
      <c r="B92" s="12" t="s">
        <v>88</v>
      </c>
      <c r="C92" s="36">
        <v>31.63</v>
      </c>
      <c r="D92" s="36">
        <v>11.48</v>
      </c>
      <c r="E92" s="36">
        <f t="shared" si="8"/>
        <v>20.149999999999999</v>
      </c>
      <c r="F92" s="12" t="s">
        <v>38</v>
      </c>
      <c r="G92" s="12" t="s">
        <v>89</v>
      </c>
      <c r="H92" s="13">
        <v>500</v>
      </c>
      <c r="I92" s="13">
        <f t="shared" si="9"/>
        <v>10075</v>
      </c>
      <c r="J92" s="13">
        <v>0</v>
      </c>
      <c r="K92" s="13">
        <f t="shared" si="10"/>
        <v>10075</v>
      </c>
      <c r="L92" s="13">
        <v>0</v>
      </c>
      <c r="M92" s="13">
        <f t="shared" si="11"/>
        <v>10075</v>
      </c>
      <c r="N92" s="14" t="s">
        <v>44</v>
      </c>
      <c r="O92" s="38"/>
      <c r="P92" s="10" t="s">
        <v>18</v>
      </c>
      <c r="Q92" s="11">
        <v>219.41</v>
      </c>
    </row>
    <row r="93" spans="1:17" ht="15.75" customHeight="1" x14ac:dyDescent="0.25">
      <c r="A93" s="458"/>
      <c r="B93" s="22" t="s">
        <v>49</v>
      </c>
      <c r="C93" s="37">
        <v>20.89</v>
      </c>
      <c r="D93" s="37">
        <v>9.5500000000000007</v>
      </c>
      <c r="E93" s="37">
        <f t="shared" si="8"/>
        <v>11.34</v>
      </c>
      <c r="F93" s="22" t="s">
        <v>18</v>
      </c>
      <c r="G93" s="22" t="s">
        <v>90</v>
      </c>
      <c r="H93" s="23">
        <v>1150</v>
      </c>
      <c r="I93" s="23">
        <f t="shared" si="9"/>
        <v>13041</v>
      </c>
      <c r="J93" s="23">
        <v>0</v>
      </c>
      <c r="K93" s="23">
        <f t="shared" si="10"/>
        <v>13041</v>
      </c>
      <c r="L93" s="23">
        <v>18</v>
      </c>
      <c r="M93" s="23">
        <f t="shared" si="11"/>
        <v>13023</v>
      </c>
      <c r="N93" s="24" t="s">
        <v>20</v>
      </c>
      <c r="O93" s="38"/>
      <c r="P93" s="10" t="s">
        <v>23</v>
      </c>
      <c r="Q93" s="11">
        <v>1101.49</v>
      </c>
    </row>
    <row r="94" spans="1:17" ht="15.75" customHeight="1" thickBot="1" x14ac:dyDescent="0.3">
      <c r="A94" s="459"/>
      <c r="B94" s="15" t="s">
        <v>40</v>
      </c>
      <c r="C94" s="52">
        <v>7.04</v>
      </c>
      <c r="D94" s="52">
        <v>3.16</v>
      </c>
      <c r="E94" s="52">
        <f t="shared" si="8"/>
        <v>3.88</v>
      </c>
      <c r="F94" s="15" t="s">
        <v>23</v>
      </c>
      <c r="G94" s="15" t="s">
        <v>91</v>
      </c>
      <c r="H94" s="16">
        <v>1350</v>
      </c>
      <c r="I94" s="16">
        <f t="shared" si="9"/>
        <v>5238</v>
      </c>
      <c r="J94" s="16">
        <v>0</v>
      </c>
      <c r="K94" s="16">
        <f t="shared" si="10"/>
        <v>5238</v>
      </c>
      <c r="L94" s="16">
        <v>41</v>
      </c>
      <c r="M94" s="16">
        <f t="shared" si="11"/>
        <v>5197</v>
      </c>
      <c r="N94" s="17" t="s">
        <v>20</v>
      </c>
      <c r="O94" s="38"/>
      <c r="P94" s="18" t="s">
        <v>35</v>
      </c>
      <c r="Q94" s="19">
        <v>1189.8699999999999</v>
      </c>
    </row>
    <row r="95" spans="1:17" ht="15.75" customHeight="1" x14ac:dyDescent="0.25">
      <c r="A95" s="457">
        <v>45781</v>
      </c>
      <c r="B95" s="12" t="s">
        <v>92</v>
      </c>
      <c r="C95" s="36">
        <v>5.67</v>
      </c>
      <c r="D95" s="36">
        <v>3.47</v>
      </c>
      <c r="E95" s="36">
        <f t="shared" si="8"/>
        <v>2.1999999999999997</v>
      </c>
      <c r="F95" s="12" t="s">
        <v>23</v>
      </c>
      <c r="G95" s="12" t="s">
        <v>93</v>
      </c>
      <c r="H95" s="13">
        <v>1350</v>
      </c>
      <c r="I95" s="13">
        <f t="shared" si="9"/>
        <v>2969.9999999999995</v>
      </c>
      <c r="J95" s="13">
        <v>0</v>
      </c>
      <c r="K95" s="13">
        <f t="shared" si="10"/>
        <v>2969.9999999999995</v>
      </c>
      <c r="L95" s="13">
        <v>70</v>
      </c>
      <c r="M95" s="13">
        <f t="shared" si="11"/>
        <v>2899.9999999999995</v>
      </c>
      <c r="N95" s="14" t="s">
        <v>44</v>
      </c>
      <c r="O95" s="38"/>
    </row>
    <row r="96" spans="1:17" ht="15.75" customHeight="1" thickBot="1" x14ac:dyDescent="0.3">
      <c r="A96" s="459"/>
      <c r="B96" s="15" t="s">
        <v>49</v>
      </c>
      <c r="C96" s="52">
        <v>24.58</v>
      </c>
      <c r="D96" s="52">
        <v>9.56</v>
      </c>
      <c r="E96" s="52">
        <f t="shared" si="8"/>
        <v>15.019999999999998</v>
      </c>
      <c r="F96" s="15" t="s">
        <v>38</v>
      </c>
      <c r="G96" s="15" t="s">
        <v>94</v>
      </c>
      <c r="H96" s="16">
        <v>500</v>
      </c>
      <c r="I96" s="16">
        <f t="shared" si="9"/>
        <v>7509.9999999999991</v>
      </c>
      <c r="J96" s="16">
        <v>1000</v>
      </c>
      <c r="K96" s="16">
        <f t="shared" si="10"/>
        <v>8510</v>
      </c>
      <c r="L96" s="16">
        <v>10</v>
      </c>
      <c r="M96" s="16">
        <f t="shared" si="11"/>
        <v>8500</v>
      </c>
      <c r="N96" s="17" t="s">
        <v>25</v>
      </c>
      <c r="O96" s="38"/>
    </row>
    <row r="97" spans="1:15" ht="15.75" customHeight="1" x14ac:dyDescent="0.25">
      <c r="A97" s="457">
        <v>45782</v>
      </c>
      <c r="B97" s="12" t="s">
        <v>42</v>
      </c>
      <c r="C97" s="36">
        <v>28.73</v>
      </c>
      <c r="D97" s="36">
        <v>9.7100000000000009</v>
      </c>
      <c r="E97" s="36">
        <f t="shared" si="8"/>
        <v>19.02</v>
      </c>
      <c r="F97" s="12" t="s">
        <v>26</v>
      </c>
      <c r="G97" s="12" t="s">
        <v>95</v>
      </c>
      <c r="H97" s="13">
        <v>1225</v>
      </c>
      <c r="I97" s="13">
        <f t="shared" si="9"/>
        <v>23299.5</v>
      </c>
      <c r="J97" s="13">
        <v>0</v>
      </c>
      <c r="K97" s="13">
        <f t="shared" si="10"/>
        <v>23299.5</v>
      </c>
      <c r="L97" s="13">
        <v>0</v>
      </c>
      <c r="M97" s="13">
        <f t="shared" si="11"/>
        <v>23299.5</v>
      </c>
      <c r="N97" s="14" t="s">
        <v>44</v>
      </c>
      <c r="O97" s="38"/>
    </row>
    <row r="98" spans="1:15" ht="15.75" customHeight="1" x14ac:dyDescent="0.25">
      <c r="A98" s="458"/>
      <c r="B98" s="22" t="s">
        <v>49</v>
      </c>
      <c r="C98" s="37">
        <v>27.65</v>
      </c>
      <c r="D98" s="37">
        <v>9.57</v>
      </c>
      <c r="E98" s="37">
        <f t="shared" si="8"/>
        <v>18.079999999999998</v>
      </c>
      <c r="F98" s="22" t="s">
        <v>26</v>
      </c>
      <c r="G98" s="22" t="s">
        <v>95</v>
      </c>
      <c r="H98" s="23">
        <v>1225</v>
      </c>
      <c r="I98" s="23">
        <f t="shared" si="9"/>
        <v>22147.999999999996</v>
      </c>
      <c r="J98" s="23">
        <v>0</v>
      </c>
      <c r="K98" s="23">
        <f t="shared" si="10"/>
        <v>22147.999999999996</v>
      </c>
      <c r="L98" s="23">
        <v>0</v>
      </c>
      <c r="M98" s="23">
        <f t="shared" si="11"/>
        <v>22147.999999999996</v>
      </c>
      <c r="N98" s="24" t="s">
        <v>44</v>
      </c>
      <c r="O98" s="38"/>
    </row>
    <row r="99" spans="1:15" ht="15.75" customHeight="1" x14ac:dyDescent="0.25">
      <c r="A99" s="458"/>
      <c r="B99" s="22" t="s">
        <v>42</v>
      </c>
      <c r="C99" s="37">
        <v>28.79</v>
      </c>
      <c r="D99" s="37">
        <v>9.6999999999999993</v>
      </c>
      <c r="E99" s="37">
        <f t="shared" si="8"/>
        <v>19.09</v>
      </c>
      <c r="F99" s="22" t="s">
        <v>26</v>
      </c>
      <c r="G99" s="22" t="s">
        <v>95</v>
      </c>
      <c r="H99" s="23">
        <v>1225</v>
      </c>
      <c r="I99" s="23">
        <f t="shared" si="9"/>
        <v>23385.25</v>
      </c>
      <c r="J99" s="23">
        <v>0</v>
      </c>
      <c r="K99" s="23">
        <f t="shared" si="10"/>
        <v>23385.25</v>
      </c>
      <c r="L99" s="23">
        <v>0</v>
      </c>
      <c r="M99" s="23">
        <f t="shared" si="11"/>
        <v>23385.25</v>
      </c>
      <c r="N99" s="24" t="s">
        <v>44</v>
      </c>
      <c r="O99" s="38"/>
    </row>
    <row r="100" spans="1:15" ht="15.75" customHeight="1" x14ac:dyDescent="0.25">
      <c r="A100" s="458"/>
      <c r="B100" s="22" t="s">
        <v>49</v>
      </c>
      <c r="C100" s="37">
        <v>28.46</v>
      </c>
      <c r="D100" s="37">
        <v>9.5399999999999991</v>
      </c>
      <c r="E100" s="37">
        <f t="shared" si="8"/>
        <v>18.920000000000002</v>
      </c>
      <c r="F100" s="22" t="s">
        <v>26</v>
      </c>
      <c r="G100" s="22" t="s">
        <v>95</v>
      </c>
      <c r="H100" s="23">
        <v>1225</v>
      </c>
      <c r="I100" s="23">
        <f t="shared" si="9"/>
        <v>23177.000000000004</v>
      </c>
      <c r="J100" s="23">
        <v>0</v>
      </c>
      <c r="K100" s="23">
        <f t="shared" si="10"/>
        <v>23177.000000000004</v>
      </c>
      <c r="L100" s="23">
        <v>0</v>
      </c>
      <c r="M100" s="23">
        <f t="shared" si="11"/>
        <v>23177.000000000004</v>
      </c>
      <c r="N100" s="24" t="s">
        <v>44</v>
      </c>
      <c r="O100" s="38"/>
    </row>
    <row r="101" spans="1:15" ht="15.75" customHeight="1" x14ac:dyDescent="0.25">
      <c r="A101" s="458"/>
      <c r="B101" s="22" t="s">
        <v>42</v>
      </c>
      <c r="C101" s="37">
        <v>28.83</v>
      </c>
      <c r="D101" s="37">
        <v>9.7200000000000006</v>
      </c>
      <c r="E101" s="37">
        <f t="shared" si="8"/>
        <v>19.11</v>
      </c>
      <c r="F101" s="22" t="s">
        <v>26</v>
      </c>
      <c r="G101" s="22" t="s">
        <v>95</v>
      </c>
      <c r="H101" s="23">
        <v>1225</v>
      </c>
      <c r="I101" s="23">
        <f t="shared" si="9"/>
        <v>23409.75</v>
      </c>
      <c r="J101" s="23">
        <v>0</v>
      </c>
      <c r="K101" s="23">
        <f t="shared" si="10"/>
        <v>23409.75</v>
      </c>
      <c r="L101" s="23">
        <v>0</v>
      </c>
      <c r="M101" s="23">
        <f t="shared" si="11"/>
        <v>23409.75</v>
      </c>
      <c r="N101" s="24" t="s">
        <v>44</v>
      </c>
      <c r="O101" s="38"/>
    </row>
    <row r="102" spans="1:15" ht="15.75" customHeight="1" x14ac:dyDescent="0.25">
      <c r="A102" s="458"/>
      <c r="B102" s="22" t="s">
        <v>49</v>
      </c>
      <c r="C102" s="37">
        <v>28.6</v>
      </c>
      <c r="D102" s="37">
        <v>9.5500000000000007</v>
      </c>
      <c r="E102" s="37">
        <f t="shared" si="8"/>
        <v>19.05</v>
      </c>
      <c r="F102" s="22" t="s">
        <v>26</v>
      </c>
      <c r="G102" s="22" t="s">
        <v>95</v>
      </c>
      <c r="H102" s="23">
        <v>1225</v>
      </c>
      <c r="I102" s="23">
        <f t="shared" si="9"/>
        <v>23336.25</v>
      </c>
      <c r="J102" s="23">
        <v>0</v>
      </c>
      <c r="K102" s="23">
        <f t="shared" si="10"/>
        <v>23336.25</v>
      </c>
      <c r="L102" s="23">
        <v>0</v>
      </c>
      <c r="M102" s="23">
        <f t="shared" si="11"/>
        <v>23336.25</v>
      </c>
      <c r="N102" s="24" t="s">
        <v>44</v>
      </c>
      <c r="O102" s="38"/>
    </row>
    <row r="103" spans="1:15" ht="15.75" customHeight="1" x14ac:dyDescent="0.25">
      <c r="A103" s="458"/>
      <c r="B103" s="22" t="s">
        <v>22</v>
      </c>
      <c r="C103" s="37">
        <v>29.18</v>
      </c>
      <c r="D103" s="37">
        <v>9.86</v>
      </c>
      <c r="E103" s="37">
        <f t="shared" si="8"/>
        <v>19.32</v>
      </c>
      <c r="F103" s="22" t="s">
        <v>26</v>
      </c>
      <c r="G103" s="22" t="s">
        <v>95</v>
      </c>
      <c r="H103" s="23">
        <v>1225</v>
      </c>
      <c r="I103" s="23">
        <f t="shared" si="9"/>
        <v>23667</v>
      </c>
      <c r="J103" s="23">
        <v>0</v>
      </c>
      <c r="K103" s="23">
        <f t="shared" si="10"/>
        <v>23667</v>
      </c>
      <c r="L103" s="23">
        <v>0</v>
      </c>
      <c r="M103" s="23">
        <f t="shared" si="11"/>
        <v>23667</v>
      </c>
      <c r="N103" s="24" t="s">
        <v>44</v>
      </c>
      <c r="O103" s="38"/>
    </row>
    <row r="104" spans="1:15" ht="15.75" customHeight="1" thickBot="1" x14ac:dyDescent="0.3">
      <c r="A104" s="459"/>
      <c r="B104" s="15" t="s">
        <v>42</v>
      </c>
      <c r="C104" s="52">
        <v>28.76</v>
      </c>
      <c r="D104" s="52">
        <v>9.57</v>
      </c>
      <c r="E104" s="52">
        <f t="shared" si="8"/>
        <v>19.190000000000001</v>
      </c>
      <c r="F104" s="15" t="s">
        <v>26</v>
      </c>
      <c r="G104" s="15" t="s">
        <v>95</v>
      </c>
      <c r="H104" s="16">
        <v>1225</v>
      </c>
      <c r="I104" s="16">
        <f t="shared" si="9"/>
        <v>23507.75</v>
      </c>
      <c r="J104" s="16">
        <v>0</v>
      </c>
      <c r="K104" s="16">
        <f t="shared" si="10"/>
        <v>23507.75</v>
      </c>
      <c r="L104" s="16">
        <v>0</v>
      </c>
      <c r="M104" s="16">
        <f t="shared" si="11"/>
        <v>23507.75</v>
      </c>
      <c r="N104" s="17" t="s">
        <v>44</v>
      </c>
      <c r="O104" s="38"/>
    </row>
    <row r="105" spans="1:15" ht="15.75" customHeight="1" x14ac:dyDescent="0.25">
      <c r="A105" s="457">
        <v>45783</v>
      </c>
      <c r="B105" s="12" t="s">
        <v>96</v>
      </c>
      <c r="C105" s="36">
        <v>10.87</v>
      </c>
      <c r="D105" s="36">
        <v>6.91</v>
      </c>
      <c r="E105" s="36">
        <f t="shared" si="8"/>
        <v>3.9599999999999991</v>
      </c>
      <c r="F105" s="12" t="s">
        <v>23</v>
      </c>
      <c r="G105" s="12" t="s">
        <v>97</v>
      </c>
      <c r="H105" s="13">
        <v>1350</v>
      </c>
      <c r="I105" s="13">
        <f t="shared" si="9"/>
        <v>5345.9999999999991</v>
      </c>
      <c r="J105" s="13">
        <v>0</v>
      </c>
      <c r="K105" s="13">
        <f t="shared" si="10"/>
        <v>5345.9999999999991</v>
      </c>
      <c r="L105" s="13">
        <v>6</v>
      </c>
      <c r="M105" s="13">
        <f t="shared" si="11"/>
        <v>5339.9999999999991</v>
      </c>
      <c r="N105" s="14" t="s">
        <v>25</v>
      </c>
      <c r="O105" s="38"/>
    </row>
    <row r="106" spans="1:15" ht="15.75" customHeight="1" x14ac:dyDescent="0.25">
      <c r="A106" s="458"/>
      <c r="B106" s="22" t="s">
        <v>22</v>
      </c>
      <c r="C106" s="37">
        <v>29.61</v>
      </c>
      <c r="D106" s="37">
        <v>9.7899999999999991</v>
      </c>
      <c r="E106" s="37">
        <f t="shared" si="8"/>
        <v>19.82</v>
      </c>
      <c r="F106" s="22" t="s">
        <v>26</v>
      </c>
      <c r="G106" s="22" t="s">
        <v>95</v>
      </c>
      <c r="H106" s="23">
        <v>1225</v>
      </c>
      <c r="I106" s="23">
        <f t="shared" si="9"/>
        <v>24279.5</v>
      </c>
      <c r="J106" s="23">
        <v>0</v>
      </c>
      <c r="K106" s="23">
        <f t="shared" si="10"/>
        <v>24279.5</v>
      </c>
      <c r="L106" s="23">
        <v>0</v>
      </c>
      <c r="M106" s="23">
        <f t="shared" si="11"/>
        <v>24279.5</v>
      </c>
      <c r="N106" s="24" t="s">
        <v>44</v>
      </c>
      <c r="O106" s="38"/>
    </row>
    <row r="107" spans="1:15" ht="15.75" customHeight="1" x14ac:dyDescent="0.25">
      <c r="A107" s="458"/>
      <c r="B107" s="22" t="s">
        <v>49</v>
      </c>
      <c r="C107" s="37">
        <v>28.63</v>
      </c>
      <c r="D107" s="37">
        <v>9.5500000000000007</v>
      </c>
      <c r="E107" s="37">
        <f t="shared" si="8"/>
        <v>19.079999999999998</v>
      </c>
      <c r="F107" s="22" t="s">
        <v>26</v>
      </c>
      <c r="G107" s="22" t="s">
        <v>95</v>
      </c>
      <c r="H107" s="23">
        <v>1225</v>
      </c>
      <c r="I107" s="23">
        <f t="shared" si="9"/>
        <v>23372.999999999996</v>
      </c>
      <c r="J107" s="23">
        <v>0</v>
      </c>
      <c r="K107" s="23">
        <f t="shared" si="10"/>
        <v>23372.999999999996</v>
      </c>
      <c r="L107" s="23">
        <v>0</v>
      </c>
      <c r="M107" s="23">
        <f t="shared" si="11"/>
        <v>23372.999999999996</v>
      </c>
      <c r="N107" s="24" t="s">
        <v>44</v>
      </c>
      <c r="O107" s="38"/>
    </row>
    <row r="108" spans="1:15" ht="15.75" customHeight="1" x14ac:dyDescent="0.25">
      <c r="A108" s="458"/>
      <c r="B108" s="22" t="s">
        <v>42</v>
      </c>
      <c r="C108" s="37">
        <v>28.17</v>
      </c>
      <c r="D108" s="37">
        <v>9.73</v>
      </c>
      <c r="E108" s="37">
        <f t="shared" si="8"/>
        <v>18.440000000000001</v>
      </c>
      <c r="F108" s="22" t="s">
        <v>26</v>
      </c>
      <c r="G108" s="22" t="s">
        <v>95</v>
      </c>
      <c r="H108" s="23">
        <v>1225</v>
      </c>
      <c r="I108" s="23">
        <f t="shared" si="9"/>
        <v>22589</v>
      </c>
      <c r="J108" s="23">
        <v>0</v>
      </c>
      <c r="K108" s="23">
        <f t="shared" si="10"/>
        <v>22589</v>
      </c>
      <c r="L108" s="23">
        <v>0</v>
      </c>
      <c r="M108" s="23">
        <f t="shared" si="11"/>
        <v>22589</v>
      </c>
      <c r="N108" s="24" t="s">
        <v>44</v>
      </c>
      <c r="O108" s="38"/>
    </row>
    <row r="109" spans="1:15" ht="15.75" customHeight="1" x14ac:dyDescent="0.25">
      <c r="A109" s="458"/>
      <c r="B109" s="22" t="s">
        <v>98</v>
      </c>
      <c r="C109" s="37">
        <v>26.48</v>
      </c>
      <c r="D109" s="37">
        <v>11.63</v>
      </c>
      <c r="E109" s="37">
        <f t="shared" si="8"/>
        <v>14.85</v>
      </c>
      <c r="F109" s="22" t="s">
        <v>23</v>
      </c>
      <c r="G109" s="22" t="s">
        <v>99</v>
      </c>
      <c r="H109" s="23">
        <v>1279.46</v>
      </c>
      <c r="I109" s="23">
        <f t="shared" si="9"/>
        <v>18999.981</v>
      </c>
      <c r="J109" s="23">
        <v>0</v>
      </c>
      <c r="K109" s="23">
        <f t="shared" si="10"/>
        <v>18999.981</v>
      </c>
      <c r="L109" s="23">
        <v>-0.02</v>
      </c>
      <c r="M109" s="23">
        <f t="shared" si="11"/>
        <v>19000.001</v>
      </c>
      <c r="N109" s="24" t="s">
        <v>20</v>
      </c>
      <c r="O109" s="38"/>
    </row>
    <row r="110" spans="1:15" ht="15.75" customHeight="1" x14ac:dyDescent="0.25">
      <c r="A110" s="458"/>
      <c r="B110" s="22" t="s">
        <v>42</v>
      </c>
      <c r="C110" s="37">
        <v>28.71</v>
      </c>
      <c r="D110" s="37">
        <v>9.73</v>
      </c>
      <c r="E110" s="37">
        <f t="shared" si="8"/>
        <v>18.98</v>
      </c>
      <c r="F110" s="22" t="s">
        <v>26</v>
      </c>
      <c r="G110" s="22" t="s">
        <v>95</v>
      </c>
      <c r="H110" s="23">
        <v>1225</v>
      </c>
      <c r="I110" s="23">
        <f t="shared" si="9"/>
        <v>23250.5</v>
      </c>
      <c r="J110" s="23">
        <v>0</v>
      </c>
      <c r="K110" s="23">
        <f t="shared" si="10"/>
        <v>23250.5</v>
      </c>
      <c r="L110" s="23">
        <v>0</v>
      </c>
      <c r="M110" s="23">
        <f t="shared" si="11"/>
        <v>23250.5</v>
      </c>
      <c r="N110" s="24" t="s">
        <v>44</v>
      </c>
      <c r="O110" s="38"/>
    </row>
    <row r="111" spans="1:15" ht="15.75" customHeight="1" x14ac:dyDescent="0.25">
      <c r="A111" s="458"/>
      <c r="B111" s="22" t="s">
        <v>22</v>
      </c>
      <c r="C111" s="37">
        <v>29.05</v>
      </c>
      <c r="D111" s="37">
        <v>9.7899999999999991</v>
      </c>
      <c r="E111" s="37">
        <f t="shared" si="8"/>
        <v>19.260000000000002</v>
      </c>
      <c r="F111" s="22" t="s">
        <v>26</v>
      </c>
      <c r="G111" s="22" t="s">
        <v>95</v>
      </c>
      <c r="H111" s="23">
        <v>1225</v>
      </c>
      <c r="I111" s="23">
        <f t="shared" si="9"/>
        <v>23593.500000000004</v>
      </c>
      <c r="J111" s="23">
        <v>0</v>
      </c>
      <c r="K111" s="23">
        <f t="shared" si="10"/>
        <v>23593.500000000004</v>
      </c>
      <c r="L111" s="23">
        <v>0</v>
      </c>
      <c r="M111" s="23">
        <f t="shared" si="11"/>
        <v>23593.500000000004</v>
      </c>
      <c r="N111" s="24" t="s">
        <v>44</v>
      </c>
      <c r="O111" s="38"/>
    </row>
    <row r="112" spans="1:15" ht="15.75" customHeight="1" x14ac:dyDescent="0.25">
      <c r="A112" s="458"/>
      <c r="B112" s="22" t="s">
        <v>49</v>
      </c>
      <c r="C112" s="37">
        <v>27.46</v>
      </c>
      <c r="D112" s="37">
        <v>9.56</v>
      </c>
      <c r="E112" s="37">
        <f t="shared" si="8"/>
        <v>17.899999999999999</v>
      </c>
      <c r="F112" s="22" t="s">
        <v>26</v>
      </c>
      <c r="G112" s="22" t="s">
        <v>95</v>
      </c>
      <c r="H112" s="23">
        <v>1225</v>
      </c>
      <c r="I112" s="23">
        <f t="shared" si="9"/>
        <v>21927.5</v>
      </c>
      <c r="J112" s="23">
        <v>0</v>
      </c>
      <c r="K112" s="23">
        <f t="shared" si="10"/>
        <v>21927.5</v>
      </c>
      <c r="L112" s="23">
        <v>0</v>
      </c>
      <c r="M112" s="23">
        <f t="shared" si="11"/>
        <v>21927.5</v>
      </c>
      <c r="N112" s="24" t="s">
        <v>44</v>
      </c>
      <c r="O112" s="38"/>
    </row>
    <row r="113" spans="1:15" ht="15.75" customHeight="1" thickBot="1" x14ac:dyDescent="0.3">
      <c r="A113" s="459"/>
      <c r="B113" s="15" t="s">
        <v>100</v>
      </c>
      <c r="C113" s="52">
        <v>6.28</v>
      </c>
      <c r="D113" s="52">
        <v>3.09</v>
      </c>
      <c r="E113" s="52">
        <f t="shared" si="8"/>
        <v>3.1900000000000004</v>
      </c>
      <c r="F113" s="15" t="s">
        <v>23</v>
      </c>
      <c r="G113" s="15" t="s">
        <v>101</v>
      </c>
      <c r="H113" s="16">
        <v>1350</v>
      </c>
      <c r="I113" s="16">
        <f t="shared" si="9"/>
        <v>4306.5000000000009</v>
      </c>
      <c r="J113" s="16">
        <v>0</v>
      </c>
      <c r="K113" s="16">
        <f t="shared" si="10"/>
        <v>4306.5000000000009</v>
      </c>
      <c r="L113" s="16">
        <v>6</v>
      </c>
      <c r="M113" s="16">
        <f t="shared" si="11"/>
        <v>4300.5000000000009</v>
      </c>
      <c r="N113" s="17" t="s">
        <v>20</v>
      </c>
      <c r="O113" s="38"/>
    </row>
    <row r="114" spans="1:15" ht="15.75" customHeight="1" x14ac:dyDescent="0.25">
      <c r="A114" s="457">
        <v>45784</v>
      </c>
      <c r="B114" s="12" t="s">
        <v>88</v>
      </c>
      <c r="C114" s="36">
        <v>31.22</v>
      </c>
      <c r="D114" s="36">
        <v>10.58</v>
      </c>
      <c r="E114" s="36">
        <f t="shared" si="8"/>
        <v>20.64</v>
      </c>
      <c r="F114" s="12" t="s">
        <v>38</v>
      </c>
      <c r="G114" s="12" t="s">
        <v>89</v>
      </c>
      <c r="H114" s="13">
        <v>500</v>
      </c>
      <c r="I114" s="13">
        <f t="shared" si="9"/>
        <v>10320</v>
      </c>
      <c r="J114" s="13">
        <v>0</v>
      </c>
      <c r="K114" s="13">
        <f t="shared" si="10"/>
        <v>10320</v>
      </c>
      <c r="L114" s="13">
        <v>0</v>
      </c>
      <c r="M114" s="13">
        <f t="shared" si="11"/>
        <v>10320</v>
      </c>
      <c r="N114" s="14" t="s">
        <v>44</v>
      </c>
      <c r="O114" s="38"/>
    </row>
    <row r="115" spans="1:15" ht="15.75" customHeight="1" thickBot="1" x14ac:dyDescent="0.3">
      <c r="A115" s="459"/>
      <c r="B115" s="15" t="s">
        <v>88</v>
      </c>
      <c r="C115" s="52">
        <v>34.01</v>
      </c>
      <c r="D115" s="52">
        <v>10.74</v>
      </c>
      <c r="E115" s="52">
        <f t="shared" si="8"/>
        <v>23.269999999999996</v>
      </c>
      <c r="F115" s="15" t="s">
        <v>38</v>
      </c>
      <c r="G115" s="15" t="s">
        <v>89</v>
      </c>
      <c r="H115" s="16">
        <v>500</v>
      </c>
      <c r="I115" s="16">
        <f t="shared" si="9"/>
        <v>11634.999999999998</v>
      </c>
      <c r="J115" s="16">
        <v>0</v>
      </c>
      <c r="K115" s="16">
        <f t="shared" si="10"/>
        <v>11634.999999999998</v>
      </c>
      <c r="L115" s="16">
        <v>0</v>
      </c>
      <c r="M115" s="16">
        <f t="shared" si="11"/>
        <v>11634.999999999998</v>
      </c>
      <c r="N115" s="17" t="s">
        <v>44</v>
      </c>
      <c r="O115" s="38"/>
    </row>
    <row r="116" spans="1:15" ht="15.75" customHeight="1" x14ac:dyDescent="0.25">
      <c r="A116" s="457">
        <v>45785</v>
      </c>
      <c r="B116" s="12" t="s">
        <v>49</v>
      </c>
      <c r="C116" s="36">
        <v>21.6</v>
      </c>
      <c r="D116" s="36">
        <v>9.6199999999999992</v>
      </c>
      <c r="E116" s="36">
        <f t="shared" si="8"/>
        <v>11.980000000000002</v>
      </c>
      <c r="F116" s="12" t="s">
        <v>35</v>
      </c>
      <c r="G116" s="12" t="s">
        <v>102</v>
      </c>
      <c r="H116" s="13">
        <v>1250</v>
      </c>
      <c r="I116" s="13">
        <f t="shared" si="9"/>
        <v>14975.000000000004</v>
      </c>
      <c r="J116" s="13">
        <v>2000</v>
      </c>
      <c r="K116" s="13">
        <f t="shared" si="10"/>
        <v>16975.000000000004</v>
      </c>
      <c r="L116" s="13">
        <v>75</v>
      </c>
      <c r="M116" s="13">
        <f t="shared" si="11"/>
        <v>16900.000000000004</v>
      </c>
      <c r="N116" s="14" t="s">
        <v>103</v>
      </c>
      <c r="O116" s="38"/>
    </row>
    <row r="117" spans="1:15" ht="15.75" customHeight="1" x14ac:dyDescent="0.25">
      <c r="A117" s="458"/>
      <c r="B117" s="22" t="s">
        <v>104</v>
      </c>
      <c r="C117" s="37">
        <v>5.09</v>
      </c>
      <c r="D117" s="37">
        <v>1.99</v>
      </c>
      <c r="E117" s="37">
        <f t="shared" si="8"/>
        <v>3.0999999999999996</v>
      </c>
      <c r="F117" s="22" t="s">
        <v>35</v>
      </c>
      <c r="G117" s="22" t="s">
        <v>105</v>
      </c>
      <c r="H117" s="23">
        <v>1250</v>
      </c>
      <c r="I117" s="23">
        <f t="shared" si="9"/>
        <v>3874.9999999999995</v>
      </c>
      <c r="J117" s="23">
        <v>0</v>
      </c>
      <c r="K117" s="23">
        <f t="shared" si="10"/>
        <v>3874.9999999999995</v>
      </c>
      <c r="L117" s="23">
        <v>0</v>
      </c>
      <c r="M117" s="23">
        <f t="shared" si="11"/>
        <v>3874.9999999999995</v>
      </c>
      <c r="N117" s="24" t="s">
        <v>44</v>
      </c>
      <c r="O117" s="38"/>
    </row>
    <row r="118" spans="1:15" ht="15.75" customHeight="1" x14ac:dyDescent="0.25">
      <c r="A118" s="458"/>
      <c r="B118" s="22" t="s">
        <v>106</v>
      </c>
      <c r="C118" s="37">
        <v>13.95</v>
      </c>
      <c r="D118" s="37">
        <v>6.26</v>
      </c>
      <c r="E118" s="37">
        <f t="shared" si="8"/>
        <v>7.6899999999999995</v>
      </c>
      <c r="F118" s="22" t="s">
        <v>18</v>
      </c>
      <c r="G118" s="22" t="s">
        <v>107</v>
      </c>
      <c r="H118" s="23">
        <v>1200</v>
      </c>
      <c r="I118" s="23">
        <f t="shared" si="9"/>
        <v>9228</v>
      </c>
      <c r="J118" s="23">
        <v>0</v>
      </c>
      <c r="K118" s="23">
        <f t="shared" si="10"/>
        <v>9228</v>
      </c>
      <c r="L118" s="23">
        <v>0</v>
      </c>
      <c r="M118" s="23">
        <f t="shared" si="11"/>
        <v>9228</v>
      </c>
      <c r="N118" s="24" t="s">
        <v>103</v>
      </c>
      <c r="O118" s="38"/>
    </row>
    <row r="119" spans="1:15" ht="15.75" customHeight="1" thickBot="1" x14ac:dyDescent="0.3">
      <c r="A119" s="459"/>
      <c r="B119" s="15" t="s">
        <v>108</v>
      </c>
      <c r="C119" s="52">
        <v>3.48</v>
      </c>
      <c r="D119" s="52">
        <v>1.9</v>
      </c>
      <c r="E119" s="52">
        <f t="shared" si="8"/>
        <v>1.58</v>
      </c>
      <c r="F119" s="15" t="s">
        <v>23</v>
      </c>
      <c r="G119" s="15" t="s">
        <v>109</v>
      </c>
      <c r="H119" s="16">
        <v>1350</v>
      </c>
      <c r="I119" s="16">
        <f t="shared" si="9"/>
        <v>2133</v>
      </c>
      <c r="J119" s="16">
        <v>0</v>
      </c>
      <c r="K119" s="16">
        <f t="shared" si="10"/>
        <v>2133</v>
      </c>
      <c r="L119" s="16">
        <v>33</v>
      </c>
      <c r="M119" s="16">
        <f t="shared" si="11"/>
        <v>2100</v>
      </c>
      <c r="N119" s="17" t="s">
        <v>20</v>
      </c>
      <c r="O119" s="38"/>
    </row>
    <row r="120" spans="1:15" ht="15.75" customHeight="1" x14ac:dyDescent="0.25">
      <c r="A120" s="457">
        <v>45786</v>
      </c>
      <c r="B120" s="12" t="s">
        <v>49</v>
      </c>
      <c r="C120" s="36">
        <v>22.6</v>
      </c>
      <c r="D120" s="36">
        <v>9.56</v>
      </c>
      <c r="E120" s="36">
        <f t="shared" si="8"/>
        <v>13.040000000000001</v>
      </c>
      <c r="F120" s="12" t="s">
        <v>23</v>
      </c>
      <c r="G120" s="12" t="s">
        <v>110</v>
      </c>
      <c r="H120" s="13">
        <v>1350</v>
      </c>
      <c r="I120" s="13">
        <f t="shared" si="9"/>
        <v>17604</v>
      </c>
      <c r="J120" s="13">
        <v>1000</v>
      </c>
      <c r="K120" s="13">
        <f t="shared" si="10"/>
        <v>18604</v>
      </c>
      <c r="L120" s="13">
        <v>4</v>
      </c>
      <c r="M120" s="13">
        <f t="shared" si="11"/>
        <v>18600</v>
      </c>
      <c r="N120" s="14" t="s">
        <v>103</v>
      </c>
      <c r="O120" s="38"/>
    </row>
    <row r="121" spans="1:15" ht="15.75" customHeight="1" x14ac:dyDescent="0.25">
      <c r="A121" s="458"/>
      <c r="B121" s="22" t="s">
        <v>42</v>
      </c>
      <c r="C121" s="37">
        <v>26.53</v>
      </c>
      <c r="D121" s="37">
        <v>9.67</v>
      </c>
      <c r="E121" s="37">
        <f t="shared" si="8"/>
        <v>16.86</v>
      </c>
      <c r="F121" s="22" t="s">
        <v>38</v>
      </c>
      <c r="G121" s="22" t="s">
        <v>110</v>
      </c>
      <c r="H121" s="23">
        <v>500</v>
      </c>
      <c r="I121" s="23">
        <f t="shared" si="9"/>
        <v>8430</v>
      </c>
      <c r="J121" s="23">
        <v>1000</v>
      </c>
      <c r="K121" s="23">
        <f t="shared" si="10"/>
        <v>9430</v>
      </c>
      <c r="L121" s="23">
        <v>30</v>
      </c>
      <c r="M121" s="23">
        <f t="shared" si="11"/>
        <v>9400</v>
      </c>
      <c r="N121" s="24" t="s">
        <v>103</v>
      </c>
      <c r="O121" s="38"/>
    </row>
    <row r="122" spans="1:15" ht="15.75" customHeight="1" thickBot="1" x14ac:dyDescent="0.3">
      <c r="A122" s="459"/>
      <c r="B122" s="15" t="s">
        <v>40</v>
      </c>
      <c r="C122" s="52">
        <v>7.02</v>
      </c>
      <c r="D122" s="52">
        <v>3.14</v>
      </c>
      <c r="E122" s="52">
        <f t="shared" si="8"/>
        <v>3.8799999999999994</v>
      </c>
      <c r="F122" s="15" t="s">
        <v>23</v>
      </c>
      <c r="G122" s="15" t="s">
        <v>91</v>
      </c>
      <c r="H122" s="16">
        <v>1350</v>
      </c>
      <c r="I122" s="16">
        <f t="shared" si="9"/>
        <v>5237.9999999999991</v>
      </c>
      <c r="J122" s="16">
        <v>0</v>
      </c>
      <c r="K122" s="16">
        <f t="shared" si="10"/>
        <v>5237.9999999999991</v>
      </c>
      <c r="L122" s="16">
        <v>18</v>
      </c>
      <c r="M122" s="16">
        <f t="shared" si="11"/>
        <v>5219.9999999999991</v>
      </c>
      <c r="N122" s="17" t="s">
        <v>20</v>
      </c>
      <c r="O122" s="38"/>
    </row>
    <row r="123" spans="1:15" ht="15.75" customHeight="1" x14ac:dyDescent="0.25">
      <c r="A123" s="457">
        <v>45787</v>
      </c>
      <c r="B123" s="12" t="s">
        <v>49</v>
      </c>
      <c r="C123" s="36">
        <v>27.35</v>
      </c>
      <c r="D123" s="36">
        <v>9.56</v>
      </c>
      <c r="E123" s="36">
        <f t="shared" si="8"/>
        <v>17.79</v>
      </c>
      <c r="F123" s="12" t="s">
        <v>35</v>
      </c>
      <c r="G123" s="12" t="s">
        <v>111</v>
      </c>
      <c r="H123" s="13">
        <v>1100</v>
      </c>
      <c r="I123" s="13">
        <f t="shared" si="9"/>
        <v>19569</v>
      </c>
      <c r="J123" s="13">
        <v>0</v>
      </c>
      <c r="K123" s="13">
        <f t="shared" si="10"/>
        <v>19569</v>
      </c>
      <c r="L123" s="13">
        <v>0</v>
      </c>
      <c r="M123" s="13">
        <f t="shared" si="11"/>
        <v>19569</v>
      </c>
      <c r="N123" s="14" t="s">
        <v>44</v>
      </c>
      <c r="O123" s="38"/>
    </row>
    <row r="124" spans="1:15" ht="15.75" customHeight="1" x14ac:dyDescent="0.25">
      <c r="A124" s="458"/>
      <c r="B124" s="22" t="s">
        <v>22</v>
      </c>
      <c r="C124" s="37">
        <v>28.51</v>
      </c>
      <c r="D124" s="37">
        <v>9.82</v>
      </c>
      <c r="E124" s="37">
        <f t="shared" si="8"/>
        <v>18.690000000000001</v>
      </c>
      <c r="F124" s="22" t="s">
        <v>35</v>
      </c>
      <c r="G124" s="22" t="s">
        <v>111</v>
      </c>
      <c r="H124" s="23">
        <v>1100</v>
      </c>
      <c r="I124" s="23">
        <f t="shared" si="9"/>
        <v>20559</v>
      </c>
      <c r="J124" s="23">
        <v>0</v>
      </c>
      <c r="K124" s="23">
        <f t="shared" si="10"/>
        <v>20559</v>
      </c>
      <c r="L124" s="23">
        <v>0</v>
      </c>
      <c r="M124" s="23">
        <f t="shared" si="11"/>
        <v>20559</v>
      </c>
      <c r="N124" s="24" t="s">
        <v>44</v>
      </c>
      <c r="O124" s="38"/>
    </row>
    <row r="125" spans="1:15" ht="15.75" customHeight="1" x14ac:dyDescent="0.25">
      <c r="A125" s="458"/>
      <c r="B125" s="22" t="s">
        <v>42</v>
      </c>
      <c r="C125" s="37">
        <v>28.44</v>
      </c>
      <c r="D125" s="37">
        <v>9.65</v>
      </c>
      <c r="E125" s="37">
        <f t="shared" si="8"/>
        <v>18.79</v>
      </c>
      <c r="F125" s="22" t="s">
        <v>35</v>
      </c>
      <c r="G125" s="22" t="s">
        <v>111</v>
      </c>
      <c r="H125" s="23">
        <v>1100</v>
      </c>
      <c r="I125" s="23">
        <f t="shared" si="9"/>
        <v>20669</v>
      </c>
      <c r="J125" s="23">
        <v>0</v>
      </c>
      <c r="K125" s="23">
        <f t="shared" si="10"/>
        <v>20669</v>
      </c>
      <c r="L125" s="23">
        <v>0</v>
      </c>
      <c r="M125" s="23">
        <f t="shared" si="11"/>
        <v>20669</v>
      </c>
      <c r="N125" s="24" t="s">
        <v>44</v>
      </c>
      <c r="O125" s="38"/>
    </row>
    <row r="126" spans="1:15" ht="15.75" customHeight="1" x14ac:dyDescent="0.25">
      <c r="A126" s="458"/>
      <c r="B126" s="22" t="s">
        <v>22</v>
      </c>
      <c r="C126" s="37">
        <v>29.26</v>
      </c>
      <c r="D126" s="37">
        <v>9.81</v>
      </c>
      <c r="E126" s="37">
        <f t="shared" si="8"/>
        <v>19.450000000000003</v>
      </c>
      <c r="F126" s="22" t="s">
        <v>38</v>
      </c>
      <c r="G126" s="22" t="s">
        <v>111</v>
      </c>
      <c r="H126" s="23">
        <v>500</v>
      </c>
      <c r="I126" s="23">
        <f t="shared" si="9"/>
        <v>9725.0000000000018</v>
      </c>
      <c r="J126" s="23">
        <v>0</v>
      </c>
      <c r="K126" s="23">
        <f t="shared" si="10"/>
        <v>9725.0000000000018</v>
      </c>
      <c r="L126" s="23">
        <v>0</v>
      </c>
      <c r="M126" s="23">
        <f t="shared" si="11"/>
        <v>9725.0000000000018</v>
      </c>
      <c r="N126" s="24" t="s">
        <v>44</v>
      </c>
      <c r="O126" s="38"/>
    </row>
    <row r="127" spans="1:15" ht="15.75" customHeight="1" x14ac:dyDescent="0.25">
      <c r="A127" s="458"/>
      <c r="B127" s="22" t="s">
        <v>42</v>
      </c>
      <c r="C127" s="37">
        <v>28.93</v>
      </c>
      <c r="D127" s="37">
        <v>9.67</v>
      </c>
      <c r="E127" s="37">
        <f t="shared" si="8"/>
        <v>19.259999999999998</v>
      </c>
      <c r="F127" s="22" t="s">
        <v>38</v>
      </c>
      <c r="G127" s="22" t="s">
        <v>111</v>
      </c>
      <c r="H127" s="23">
        <v>500</v>
      </c>
      <c r="I127" s="23">
        <f t="shared" si="9"/>
        <v>9629.9999999999982</v>
      </c>
      <c r="J127" s="23">
        <v>0</v>
      </c>
      <c r="K127" s="23">
        <f t="shared" si="10"/>
        <v>9629.9999999999982</v>
      </c>
      <c r="L127" s="23">
        <v>0</v>
      </c>
      <c r="M127" s="23">
        <f t="shared" si="11"/>
        <v>9629.9999999999982</v>
      </c>
      <c r="N127" s="24" t="s">
        <v>44</v>
      </c>
      <c r="O127" s="38"/>
    </row>
    <row r="128" spans="1:15" ht="15.75" customHeight="1" x14ac:dyDescent="0.25">
      <c r="A128" s="458"/>
      <c r="B128" s="22" t="s">
        <v>49</v>
      </c>
      <c r="C128" s="37">
        <v>28.87</v>
      </c>
      <c r="D128" s="37">
        <v>9.5299999999999994</v>
      </c>
      <c r="E128" s="37">
        <f t="shared" si="8"/>
        <v>19.340000000000003</v>
      </c>
      <c r="F128" s="22" t="s">
        <v>38</v>
      </c>
      <c r="G128" s="22" t="s">
        <v>111</v>
      </c>
      <c r="H128" s="23">
        <v>500</v>
      </c>
      <c r="I128" s="23">
        <f t="shared" si="9"/>
        <v>9670.0000000000018</v>
      </c>
      <c r="J128" s="23">
        <v>0</v>
      </c>
      <c r="K128" s="23">
        <f t="shared" si="10"/>
        <v>9670.0000000000018</v>
      </c>
      <c r="L128" s="23">
        <v>0</v>
      </c>
      <c r="M128" s="23">
        <f t="shared" si="11"/>
        <v>9670.0000000000018</v>
      </c>
      <c r="N128" s="24" t="s">
        <v>44</v>
      </c>
      <c r="O128" s="38"/>
    </row>
    <row r="129" spans="1:15" ht="15.75" customHeight="1" thickBot="1" x14ac:dyDescent="0.3">
      <c r="A129" s="459"/>
      <c r="B129" s="15" t="s">
        <v>22</v>
      </c>
      <c r="C129" s="52">
        <v>27.1</v>
      </c>
      <c r="D129" s="52">
        <v>9.7899999999999991</v>
      </c>
      <c r="E129" s="52">
        <f t="shared" si="8"/>
        <v>17.310000000000002</v>
      </c>
      <c r="F129" s="15" t="s">
        <v>35</v>
      </c>
      <c r="G129" s="15" t="s">
        <v>111</v>
      </c>
      <c r="H129" s="16">
        <v>1100</v>
      </c>
      <c r="I129" s="16">
        <f t="shared" si="9"/>
        <v>19041.000000000004</v>
      </c>
      <c r="J129" s="16">
        <v>0</v>
      </c>
      <c r="K129" s="16">
        <f t="shared" si="10"/>
        <v>19041.000000000004</v>
      </c>
      <c r="L129" s="16">
        <v>0</v>
      </c>
      <c r="M129" s="16">
        <f t="shared" si="11"/>
        <v>19041.000000000004</v>
      </c>
      <c r="N129" s="17" t="s">
        <v>44</v>
      </c>
      <c r="O129" s="38"/>
    </row>
    <row r="130" spans="1:15" ht="15.75" customHeight="1" x14ac:dyDescent="0.25">
      <c r="A130" s="457">
        <v>45788</v>
      </c>
      <c r="B130" s="12" t="s">
        <v>42</v>
      </c>
      <c r="C130" s="36">
        <v>28.21</v>
      </c>
      <c r="D130" s="36">
        <v>9.6300000000000008</v>
      </c>
      <c r="E130" s="36">
        <f t="shared" si="8"/>
        <v>18.579999999999998</v>
      </c>
      <c r="F130" s="12" t="s">
        <v>35</v>
      </c>
      <c r="G130" s="12" t="s">
        <v>111</v>
      </c>
      <c r="H130" s="13">
        <v>1100</v>
      </c>
      <c r="I130" s="13">
        <f t="shared" si="9"/>
        <v>20437.999999999996</v>
      </c>
      <c r="J130" s="13">
        <v>0</v>
      </c>
      <c r="K130" s="13">
        <f t="shared" si="10"/>
        <v>20437.999999999996</v>
      </c>
      <c r="L130" s="13">
        <v>0</v>
      </c>
      <c r="M130" s="13">
        <f t="shared" si="11"/>
        <v>20437.999999999996</v>
      </c>
      <c r="N130" s="14" t="s">
        <v>44</v>
      </c>
    </row>
    <row r="131" spans="1:15" ht="15.75" customHeight="1" x14ac:dyDescent="0.25">
      <c r="A131" s="458"/>
      <c r="B131" s="22" t="s">
        <v>88</v>
      </c>
      <c r="C131" s="37">
        <v>28.11</v>
      </c>
      <c r="D131" s="37">
        <v>11.27</v>
      </c>
      <c r="E131" s="37">
        <f t="shared" si="8"/>
        <v>16.84</v>
      </c>
      <c r="F131" s="22" t="s">
        <v>35</v>
      </c>
      <c r="G131" s="22" t="s">
        <v>89</v>
      </c>
      <c r="H131" s="23">
        <v>1125</v>
      </c>
      <c r="I131" s="23">
        <f t="shared" si="9"/>
        <v>18945</v>
      </c>
      <c r="J131" s="23">
        <v>0</v>
      </c>
      <c r="K131" s="23">
        <f t="shared" si="10"/>
        <v>18945</v>
      </c>
      <c r="L131" s="23">
        <v>0</v>
      </c>
      <c r="M131" s="23">
        <f t="shared" si="11"/>
        <v>18945</v>
      </c>
      <c r="N131" s="24" t="s">
        <v>44</v>
      </c>
    </row>
    <row r="132" spans="1:15" ht="15.75" customHeight="1" x14ac:dyDescent="0.25">
      <c r="A132" s="458"/>
      <c r="B132" s="22" t="s">
        <v>22</v>
      </c>
      <c r="C132" s="37">
        <v>32.06</v>
      </c>
      <c r="D132" s="37">
        <v>9.8000000000000007</v>
      </c>
      <c r="E132" s="37">
        <f t="shared" si="8"/>
        <v>22.26</v>
      </c>
      <c r="F132" s="22" t="s">
        <v>38</v>
      </c>
      <c r="G132" s="22" t="s">
        <v>111</v>
      </c>
      <c r="H132" s="23">
        <v>500</v>
      </c>
      <c r="I132" s="23">
        <f t="shared" si="9"/>
        <v>11130</v>
      </c>
      <c r="J132" s="23">
        <v>0</v>
      </c>
      <c r="K132" s="23">
        <f t="shared" si="10"/>
        <v>11130</v>
      </c>
      <c r="L132" s="23">
        <v>0</v>
      </c>
      <c r="M132" s="23">
        <f t="shared" si="11"/>
        <v>11130</v>
      </c>
      <c r="N132" s="24" t="s">
        <v>44</v>
      </c>
    </row>
    <row r="133" spans="1:15" ht="15.75" customHeight="1" x14ac:dyDescent="0.25">
      <c r="A133" s="458"/>
      <c r="B133" s="22" t="s">
        <v>88</v>
      </c>
      <c r="C133" s="37">
        <v>33.53</v>
      </c>
      <c r="D133" s="37">
        <v>11.2</v>
      </c>
      <c r="E133" s="37">
        <f t="shared" si="8"/>
        <v>22.330000000000002</v>
      </c>
      <c r="F133" s="22" t="s">
        <v>35</v>
      </c>
      <c r="G133" s="22" t="s">
        <v>89</v>
      </c>
      <c r="H133" s="23">
        <v>1125</v>
      </c>
      <c r="I133" s="23">
        <f t="shared" si="9"/>
        <v>25121.250000000004</v>
      </c>
      <c r="J133" s="23">
        <v>0</v>
      </c>
      <c r="K133" s="23">
        <f t="shared" si="10"/>
        <v>25121.250000000004</v>
      </c>
      <c r="L133" s="23">
        <v>0</v>
      </c>
      <c r="M133" s="23">
        <f t="shared" si="11"/>
        <v>25121.250000000004</v>
      </c>
      <c r="N133" s="24" t="s">
        <v>44</v>
      </c>
    </row>
    <row r="134" spans="1:15" ht="15.75" customHeight="1" x14ac:dyDescent="0.25">
      <c r="A134" s="458"/>
      <c r="B134" s="22" t="s">
        <v>42</v>
      </c>
      <c r="C134" s="37">
        <v>29.09</v>
      </c>
      <c r="D134" s="37">
        <v>9.65</v>
      </c>
      <c r="E134" s="37">
        <f t="shared" si="8"/>
        <v>19.439999999999998</v>
      </c>
      <c r="F134" s="22" t="s">
        <v>35</v>
      </c>
      <c r="G134" s="22" t="s">
        <v>111</v>
      </c>
      <c r="H134" s="23">
        <v>1100</v>
      </c>
      <c r="I134" s="23">
        <f t="shared" si="9"/>
        <v>21383.999999999996</v>
      </c>
      <c r="J134" s="23">
        <v>0</v>
      </c>
      <c r="K134" s="23">
        <f t="shared" si="10"/>
        <v>21383.999999999996</v>
      </c>
      <c r="L134" s="23">
        <v>0</v>
      </c>
      <c r="M134" s="23">
        <f t="shared" si="11"/>
        <v>21383.999999999996</v>
      </c>
      <c r="N134" s="24" t="s">
        <v>44</v>
      </c>
    </row>
    <row r="135" spans="1:15" ht="15.75" customHeight="1" x14ac:dyDescent="0.25">
      <c r="A135" s="458"/>
      <c r="B135" s="22" t="s">
        <v>49</v>
      </c>
      <c r="C135" s="37">
        <v>26.67</v>
      </c>
      <c r="D135" s="37">
        <v>9.5399999999999991</v>
      </c>
      <c r="E135" s="37">
        <f t="shared" si="8"/>
        <v>17.130000000000003</v>
      </c>
      <c r="F135" s="22" t="s">
        <v>38</v>
      </c>
      <c r="G135" s="22" t="s">
        <v>94</v>
      </c>
      <c r="H135" s="23">
        <v>500</v>
      </c>
      <c r="I135" s="23">
        <f t="shared" si="9"/>
        <v>8565.0000000000018</v>
      </c>
      <c r="J135" s="23">
        <v>1000</v>
      </c>
      <c r="K135" s="23">
        <f t="shared" si="10"/>
        <v>9565.0000000000018</v>
      </c>
      <c r="L135" s="23">
        <v>65</v>
      </c>
      <c r="M135" s="23">
        <f t="shared" si="11"/>
        <v>9500.0000000000018</v>
      </c>
      <c r="N135" s="24" t="s">
        <v>25</v>
      </c>
    </row>
    <row r="136" spans="1:15" ht="15.75" customHeight="1" x14ac:dyDescent="0.25">
      <c r="A136" s="458"/>
      <c r="B136" s="22" t="s">
        <v>42</v>
      </c>
      <c r="C136" s="37">
        <v>30.34</v>
      </c>
      <c r="D136" s="37">
        <v>9.66</v>
      </c>
      <c r="E136" s="37">
        <f t="shared" si="8"/>
        <v>20.68</v>
      </c>
      <c r="F136" s="22" t="s">
        <v>35</v>
      </c>
      <c r="G136" s="22" t="s">
        <v>111</v>
      </c>
      <c r="H136" s="23">
        <v>1100</v>
      </c>
      <c r="I136" s="23">
        <f t="shared" si="9"/>
        <v>22748</v>
      </c>
      <c r="J136" s="23">
        <v>0</v>
      </c>
      <c r="K136" s="23">
        <f t="shared" si="10"/>
        <v>22748</v>
      </c>
      <c r="L136" s="23">
        <v>0</v>
      </c>
      <c r="M136" s="23">
        <f t="shared" si="11"/>
        <v>22748</v>
      </c>
      <c r="N136" s="24" t="s">
        <v>44</v>
      </c>
    </row>
    <row r="137" spans="1:15" ht="15.75" customHeight="1" x14ac:dyDescent="0.25">
      <c r="A137" s="458"/>
      <c r="B137" s="22" t="s">
        <v>22</v>
      </c>
      <c r="C137" s="37">
        <v>28.11</v>
      </c>
      <c r="D137" s="37">
        <v>9.77</v>
      </c>
      <c r="E137" s="37">
        <f t="shared" si="8"/>
        <v>18.34</v>
      </c>
      <c r="F137" s="22" t="s">
        <v>35</v>
      </c>
      <c r="G137" s="22" t="s">
        <v>111</v>
      </c>
      <c r="H137" s="23">
        <v>1100</v>
      </c>
      <c r="I137" s="23">
        <f t="shared" si="9"/>
        <v>20174</v>
      </c>
      <c r="J137" s="23">
        <v>0</v>
      </c>
      <c r="K137" s="23">
        <f t="shared" si="10"/>
        <v>20174</v>
      </c>
      <c r="L137" s="23">
        <v>0</v>
      </c>
      <c r="M137" s="23">
        <f t="shared" si="11"/>
        <v>20174</v>
      </c>
      <c r="N137" s="24" t="s">
        <v>44</v>
      </c>
    </row>
    <row r="138" spans="1:15" ht="15.75" customHeight="1" x14ac:dyDescent="0.25">
      <c r="A138" s="458"/>
      <c r="B138" s="22" t="s">
        <v>112</v>
      </c>
      <c r="C138" s="37">
        <v>8.6999999999999993</v>
      </c>
      <c r="D138" s="37">
        <v>3.59</v>
      </c>
      <c r="E138" s="37">
        <f t="shared" si="8"/>
        <v>5.1099999999999994</v>
      </c>
      <c r="F138" s="22" t="s">
        <v>113</v>
      </c>
      <c r="G138" s="22" t="s">
        <v>114</v>
      </c>
      <c r="H138" s="23">
        <v>1315</v>
      </c>
      <c r="I138" s="23">
        <f t="shared" si="9"/>
        <v>6719.65</v>
      </c>
      <c r="J138" s="23">
        <v>0</v>
      </c>
      <c r="K138" s="23">
        <f t="shared" si="10"/>
        <v>6719.65</v>
      </c>
      <c r="L138" s="23">
        <v>19.649999999999999</v>
      </c>
      <c r="M138" s="23">
        <f t="shared" si="11"/>
        <v>6700</v>
      </c>
      <c r="N138" s="24" t="s">
        <v>25</v>
      </c>
    </row>
    <row r="139" spans="1:15" ht="15.75" customHeight="1" thickBot="1" x14ac:dyDescent="0.3">
      <c r="A139" s="459"/>
      <c r="B139" s="15" t="s">
        <v>22</v>
      </c>
      <c r="C139" s="52">
        <v>28.32</v>
      </c>
      <c r="D139" s="52">
        <v>9.7799999999999994</v>
      </c>
      <c r="E139" s="52">
        <f t="shared" si="8"/>
        <v>18.54</v>
      </c>
      <c r="F139" s="15" t="s">
        <v>35</v>
      </c>
      <c r="G139" s="15" t="s">
        <v>111</v>
      </c>
      <c r="H139" s="16">
        <v>1100</v>
      </c>
      <c r="I139" s="16">
        <f t="shared" si="9"/>
        <v>20394</v>
      </c>
      <c r="J139" s="16">
        <v>0</v>
      </c>
      <c r="K139" s="16">
        <f t="shared" si="10"/>
        <v>20394</v>
      </c>
      <c r="L139" s="16">
        <v>0</v>
      </c>
      <c r="M139" s="16">
        <f t="shared" si="11"/>
        <v>20394</v>
      </c>
      <c r="N139" s="17" t="s">
        <v>44</v>
      </c>
    </row>
    <row r="140" spans="1:15" ht="15.75" customHeight="1" x14ac:dyDescent="0.25">
      <c r="A140" s="457">
        <v>45789</v>
      </c>
      <c r="B140" s="12" t="s">
        <v>42</v>
      </c>
      <c r="C140" s="36">
        <v>29.47</v>
      </c>
      <c r="D140" s="36">
        <v>9.66</v>
      </c>
      <c r="E140" s="36">
        <f t="shared" si="8"/>
        <v>19.809999999999999</v>
      </c>
      <c r="F140" s="12" t="s">
        <v>35</v>
      </c>
      <c r="G140" s="12" t="s">
        <v>111</v>
      </c>
      <c r="H140" s="13">
        <v>1100</v>
      </c>
      <c r="I140" s="13">
        <f t="shared" si="9"/>
        <v>21791</v>
      </c>
      <c r="J140" s="13">
        <v>0</v>
      </c>
      <c r="K140" s="13">
        <f t="shared" si="10"/>
        <v>21791</v>
      </c>
      <c r="L140" s="13">
        <v>0</v>
      </c>
      <c r="M140" s="13">
        <f t="shared" si="11"/>
        <v>21791</v>
      </c>
      <c r="N140" s="14" t="s">
        <v>44</v>
      </c>
    </row>
    <row r="141" spans="1:15" ht="15.75" customHeight="1" x14ac:dyDescent="0.25">
      <c r="A141" s="458"/>
      <c r="B141" s="22" t="s">
        <v>22</v>
      </c>
      <c r="C141" s="37">
        <v>29.38</v>
      </c>
      <c r="D141" s="37">
        <v>9.8000000000000007</v>
      </c>
      <c r="E141" s="37">
        <f t="shared" si="8"/>
        <v>19.579999999999998</v>
      </c>
      <c r="F141" s="22" t="s">
        <v>35</v>
      </c>
      <c r="G141" s="22" t="s">
        <v>111</v>
      </c>
      <c r="H141" s="23">
        <v>1100</v>
      </c>
      <c r="I141" s="23">
        <f t="shared" si="9"/>
        <v>21537.999999999996</v>
      </c>
      <c r="J141" s="23">
        <v>0</v>
      </c>
      <c r="K141" s="23">
        <f t="shared" si="10"/>
        <v>21537.999999999996</v>
      </c>
      <c r="L141" s="23">
        <v>0</v>
      </c>
      <c r="M141" s="23">
        <f t="shared" si="11"/>
        <v>21537.999999999996</v>
      </c>
      <c r="N141" s="24" t="s">
        <v>44</v>
      </c>
    </row>
    <row r="142" spans="1:15" ht="15.75" customHeight="1" x14ac:dyDescent="0.25">
      <c r="A142" s="458"/>
      <c r="B142" s="22" t="s">
        <v>49</v>
      </c>
      <c r="C142" s="37">
        <v>30.25</v>
      </c>
      <c r="D142" s="37">
        <v>9.5500000000000007</v>
      </c>
      <c r="E142" s="37">
        <f t="shared" si="8"/>
        <v>20.7</v>
      </c>
      <c r="F142" s="22" t="s">
        <v>35</v>
      </c>
      <c r="G142" s="22" t="s">
        <v>111</v>
      </c>
      <c r="H142" s="23">
        <v>1100</v>
      </c>
      <c r="I142" s="23">
        <f t="shared" si="9"/>
        <v>22770</v>
      </c>
      <c r="J142" s="23">
        <v>0</v>
      </c>
      <c r="K142" s="23">
        <f t="shared" si="10"/>
        <v>22770</v>
      </c>
      <c r="L142" s="23">
        <v>0</v>
      </c>
      <c r="M142" s="23">
        <f t="shared" si="11"/>
        <v>22770</v>
      </c>
      <c r="N142" s="24" t="s">
        <v>44</v>
      </c>
    </row>
    <row r="143" spans="1:15" ht="15.75" customHeight="1" x14ac:dyDescent="0.25">
      <c r="A143" s="458"/>
      <c r="B143" s="22" t="s">
        <v>42</v>
      </c>
      <c r="C143" s="37">
        <v>30.27</v>
      </c>
      <c r="D143" s="37">
        <v>9.65</v>
      </c>
      <c r="E143" s="37">
        <f t="shared" si="8"/>
        <v>20.619999999999997</v>
      </c>
      <c r="F143" s="22" t="s">
        <v>38</v>
      </c>
      <c r="G143" s="22" t="s">
        <v>111</v>
      </c>
      <c r="H143" s="23">
        <v>500</v>
      </c>
      <c r="I143" s="23">
        <f t="shared" si="9"/>
        <v>10309.999999999998</v>
      </c>
      <c r="J143" s="23">
        <v>0</v>
      </c>
      <c r="K143" s="23">
        <f t="shared" si="10"/>
        <v>10309.999999999998</v>
      </c>
      <c r="L143" s="23">
        <v>0</v>
      </c>
      <c r="M143" s="23">
        <f t="shared" si="11"/>
        <v>10309.999999999998</v>
      </c>
      <c r="N143" s="24" t="s">
        <v>44</v>
      </c>
    </row>
    <row r="144" spans="1:15" ht="15.75" customHeight="1" x14ac:dyDescent="0.25">
      <c r="A144" s="458"/>
      <c r="B144" s="22" t="s">
        <v>49</v>
      </c>
      <c r="C144" s="37">
        <v>32.15</v>
      </c>
      <c r="D144" s="37">
        <v>9.5299999999999994</v>
      </c>
      <c r="E144" s="37">
        <f t="shared" si="8"/>
        <v>22.619999999999997</v>
      </c>
      <c r="F144" s="22" t="s">
        <v>38</v>
      </c>
      <c r="G144" s="22" t="s">
        <v>111</v>
      </c>
      <c r="H144" s="23">
        <v>500</v>
      </c>
      <c r="I144" s="23">
        <f t="shared" si="9"/>
        <v>11309.999999999998</v>
      </c>
      <c r="J144" s="23">
        <v>0</v>
      </c>
      <c r="K144" s="23">
        <f t="shared" si="10"/>
        <v>11309.999999999998</v>
      </c>
      <c r="L144" s="23">
        <v>0</v>
      </c>
      <c r="M144" s="23">
        <f t="shared" si="11"/>
        <v>11309.999999999998</v>
      </c>
      <c r="N144" s="24" t="s">
        <v>44</v>
      </c>
    </row>
    <row r="145" spans="1:14" ht="15.75" customHeight="1" x14ac:dyDescent="0.25">
      <c r="A145" s="458"/>
      <c r="B145" s="22" t="s">
        <v>115</v>
      </c>
      <c r="C145" s="37">
        <v>28.76</v>
      </c>
      <c r="D145" s="37">
        <v>9.7899999999999991</v>
      </c>
      <c r="E145" s="37">
        <f t="shared" si="8"/>
        <v>18.970000000000002</v>
      </c>
      <c r="F145" s="22" t="s">
        <v>38</v>
      </c>
      <c r="G145" s="22" t="s">
        <v>111</v>
      </c>
      <c r="H145" s="23">
        <v>500</v>
      </c>
      <c r="I145" s="23">
        <f t="shared" si="9"/>
        <v>9485.0000000000018</v>
      </c>
      <c r="J145" s="23">
        <v>0</v>
      </c>
      <c r="K145" s="23">
        <f t="shared" si="10"/>
        <v>9485.0000000000018</v>
      </c>
      <c r="L145" s="23">
        <v>0</v>
      </c>
      <c r="M145" s="23">
        <f t="shared" si="11"/>
        <v>9485.0000000000018</v>
      </c>
      <c r="N145" s="24" t="s">
        <v>44</v>
      </c>
    </row>
    <row r="146" spans="1:14" ht="15.75" customHeight="1" x14ac:dyDescent="0.25">
      <c r="A146" s="458"/>
      <c r="B146" s="22" t="s">
        <v>115</v>
      </c>
      <c r="C146" s="37">
        <v>31.62</v>
      </c>
      <c r="D146" s="37">
        <v>9.67</v>
      </c>
      <c r="E146" s="37">
        <f t="shared" si="8"/>
        <v>21.950000000000003</v>
      </c>
      <c r="F146" s="22" t="s">
        <v>38</v>
      </c>
      <c r="G146" s="22" t="s">
        <v>111</v>
      </c>
      <c r="H146" s="23">
        <v>500</v>
      </c>
      <c r="I146" s="23">
        <f t="shared" si="9"/>
        <v>10975.000000000002</v>
      </c>
      <c r="J146" s="23">
        <v>0</v>
      </c>
      <c r="K146" s="23">
        <f t="shared" si="10"/>
        <v>10975.000000000002</v>
      </c>
      <c r="L146" s="23">
        <v>0</v>
      </c>
      <c r="M146" s="23">
        <f t="shared" si="11"/>
        <v>10975.000000000002</v>
      </c>
      <c r="N146" s="24" t="s">
        <v>44</v>
      </c>
    </row>
    <row r="147" spans="1:14" ht="15.75" customHeight="1" x14ac:dyDescent="0.25">
      <c r="A147" s="458"/>
      <c r="B147" s="22" t="s">
        <v>47</v>
      </c>
      <c r="C147" s="37">
        <v>30.25</v>
      </c>
      <c r="D147" s="37">
        <v>9.69</v>
      </c>
      <c r="E147" s="37">
        <f t="shared" si="8"/>
        <v>20.560000000000002</v>
      </c>
      <c r="F147" s="22" t="s">
        <v>38</v>
      </c>
      <c r="G147" s="22" t="s">
        <v>111</v>
      </c>
      <c r="H147" s="23">
        <v>500</v>
      </c>
      <c r="I147" s="23">
        <f t="shared" si="9"/>
        <v>10280.000000000002</v>
      </c>
      <c r="J147" s="23">
        <v>0</v>
      </c>
      <c r="K147" s="23">
        <f t="shared" si="10"/>
        <v>10280.000000000002</v>
      </c>
      <c r="L147" s="23">
        <v>0</v>
      </c>
      <c r="M147" s="23">
        <f t="shared" si="11"/>
        <v>10280.000000000002</v>
      </c>
      <c r="N147" s="24" t="s">
        <v>44</v>
      </c>
    </row>
    <row r="148" spans="1:14" ht="15.75" customHeight="1" x14ac:dyDescent="0.25">
      <c r="A148" s="458"/>
      <c r="B148" s="22" t="s">
        <v>58</v>
      </c>
      <c r="C148" s="37">
        <v>30.97</v>
      </c>
      <c r="D148" s="37">
        <v>9.7899999999999991</v>
      </c>
      <c r="E148" s="37">
        <f t="shared" si="8"/>
        <v>21.18</v>
      </c>
      <c r="F148" s="22" t="s">
        <v>38</v>
      </c>
      <c r="G148" s="22" t="s">
        <v>111</v>
      </c>
      <c r="H148" s="23">
        <v>500</v>
      </c>
      <c r="I148" s="23">
        <f t="shared" si="9"/>
        <v>10590</v>
      </c>
      <c r="J148" s="23">
        <v>0</v>
      </c>
      <c r="K148" s="23">
        <f t="shared" si="10"/>
        <v>10590</v>
      </c>
      <c r="L148" s="23">
        <v>0</v>
      </c>
      <c r="M148" s="23">
        <f t="shared" si="11"/>
        <v>10590</v>
      </c>
      <c r="N148" s="24" t="s">
        <v>44</v>
      </c>
    </row>
    <row r="149" spans="1:14" ht="15.75" customHeight="1" x14ac:dyDescent="0.25">
      <c r="A149" s="458"/>
      <c r="B149" s="22" t="s">
        <v>22</v>
      </c>
      <c r="C149" s="37">
        <v>28.88</v>
      </c>
      <c r="D149" s="37">
        <v>9.7899999999999991</v>
      </c>
      <c r="E149" s="37">
        <f t="shared" si="8"/>
        <v>19.09</v>
      </c>
      <c r="F149" s="22" t="s">
        <v>35</v>
      </c>
      <c r="G149" s="22" t="s">
        <v>111</v>
      </c>
      <c r="H149" s="23">
        <v>1100</v>
      </c>
      <c r="I149" s="23">
        <f t="shared" si="9"/>
        <v>20999</v>
      </c>
      <c r="J149" s="23">
        <v>0</v>
      </c>
      <c r="K149" s="23">
        <f t="shared" si="10"/>
        <v>20999</v>
      </c>
      <c r="L149" s="23">
        <v>0</v>
      </c>
      <c r="M149" s="23">
        <f t="shared" si="11"/>
        <v>20999</v>
      </c>
      <c r="N149" s="24" t="s">
        <v>44</v>
      </c>
    </row>
    <row r="150" spans="1:14" ht="15.75" customHeight="1" x14ac:dyDescent="0.25">
      <c r="A150" s="458"/>
      <c r="B150" s="22" t="s">
        <v>42</v>
      </c>
      <c r="C150" s="37">
        <v>31.4</v>
      </c>
      <c r="D150" s="37">
        <v>9.65</v>
      </c>
      <c r="E150" s="37">
        <f t="shared" si="8"/>
        <v>21.75</v>
      </c>
      <c r="F150" s="22" t="s">
        <v>38</v>
      </c>
      <c r="G150" s="22" t="s">
        <v>111</v>
      </c>
      <c r="H150" s="23">
        <v>500</v>
      </c>
      <c r="I150" s="23">
        <f t="shared" si="9"/>
        <v>10875</v>
      </c>
      <c r="J150" s="23">
        <v>0</v>
      </c>
      <c r="K150" s="23">
        <f t="shared" si="10"/>
        <v>10875</v>
      </c>
      <c r="L150" s="23">
        <v>0</v>
      </c>
      <c r="M150" s="23">
        <f t="shared" si="11"/>
        <v>10875</v>
      </c>
      <c r="N150" s="24" t="s">
        <v>44</v>
      </c>
    </row>
    <row r="151" spans="1:14" ht="15.75" customHeight="1" x14ac:dyDescent="0.25">
      <c r="A151" s="458"/>
      <c r="B151" s="22" t="s">
        <v>49</v>
      </c>
      <c r="C151" s="37">
        <v>31.46</v>
      </c>
      <c r="D151" s="37">
        <v>9.5399999999999991</v>
      </c>
      <c r="E151" s="37">
        <f t="shared" si="8"/>
        <v>21.92</v>
      </c>
      <c r="F151" s="22" t="s">
        <v>38</v>
      </c>
      <c r="G151" s="22" t="s">
        <v>111</v>
      </c>
      <c r="H151" s="23">
        <v>500</v>
      </c>
      <c r="I151" s="23">
        <f t="shared" si="9"/>
        <v>10960</v>
      </c>
      <c r="J151" s="23">
        <v>0</v>
      </c>
      <c r="K151" s="23">
        <f t="shared" si="10"/>
        <v>10960</v>
      </c>
      <c r="L151" s="23">
        <v>0</v>
      </c>
      <c r="M151" s="23">
        <f t="shared" si="11"/>
        <v>10960</v>
      </c>
      <c r="N151" s="24" t="s">
        <v>44</v>
      </c>
    </row>
    <row r="152" spans="1:14" ht="15.75" customHeight="1" x14ac:dyDescent="0.25">
      <c r="A152" s="458"/>
      <c r="B152" s="22" t="s">
        <v>40</v>
      </c>
      <c r="C152" s="37">
        <v>7.04</v>
      </c>
      <c r="D152" s="37">
        <v>3.14</v>
      </c>
      <c r="E152" s="37">
        <f t="shared" si="8"/>
        <v>3.9</v>
      </c>
      <c r="F152" s="22" t="s">
        <v>23</v>
      </c>
      <c r="G152" s="22" t="s">
        <v>116</v>
      </c>
      <c r="H152" s="23">
        <v>1350</v>
      </c>
      <c r="I152" s="23">
        <f t="shared" si="9"/>
        <v>5265</v>
      </c>
      <c r="J152" s="23">
        <v>0</v>
      </c>
      <c r="K152" s="23">
        <f t="shared" si="10"/>
        <v>5265</v>
      </c>
      <c r="L152" s="23">
        <v>5</v>
      </c>
      <c r="M152" s="23">
        <f t="shared" si="11"/>
        <v>5260</v>
      </c>
      <c r="N152" s="24" t="s">
        <v>20</v>
      </c>
    </row>
    <row r="153" spans="1:14" ht="15.75" customHeight="1" x14ac:dyDescent="0.25">
      <c r="A153" s="458"/>
      <c r="B153" s="22" t="s">
        <v>47</v>
      </c>
      <c r="C153" s="37">
        <v>28.69</v>
      </c>
      <c r="D153" s="37">
        <v>9.6300000000000008</v>
      </c>
      <c r="E153" s="37">
        <f t="shared" si="8"/>
        <v>19.060000000000002</v>
      </c>
      <c r="F153" s="22" t="s">
        <v>38</v>
      </c>
      <c r="G153" s="22" t="s">
        <v>111</v>
      </c>
      <c r="H153" s="23">
        <v>500</v>
      </c>
      <c r="I153" s="23">
        <f t="shared" si="9"/>
        <v>9530.0000000000018</v>
      </c>
      <c r="J153" s="23">
        <v>0</v>
      </c>
      <c r="K153" s="23">
        <f t="shared" si="10"/>
        <v>9530.0000000000018</v>
      </c>
      <c r="L153" s="23">
        <v>0</v>
      </c>
      <c r="M153" s="23">
        <f t="shared" si="11"/>
        <v>9530.0000000000018</v>
      </c>
      <c r="N153" s="24" t="s">
        <v>44</v>
      </c>
    </row>
    <row r="154" spans="1:14" ht="15.75" customHeight="1" x14ac:dyDescent="0.25">
      <c r="A154" s="458"/>
      <c r="B154" s="22" t="s">
        <v>115</v>
      </c>
      <c r="C154" s="37">
        <v>29.11</v>
      </c>
      <c r="D154" s="37">
        <v>9.65</v>
      </c>
      <c r="E154" s="37">
        <f t="shared" si="8"/>
        <v>19.46</v>
      </c>
      <c r="F154" s="22" t="s">
        <v>35</v>
      </c>
      <c r="G154" s="22" t="s">
        <v>111</v>
      </c>
      <c r="H154" s="23">
        <v>1100</v>
      </c>
      <c r="I154" s="23">
        <f t="shared" si="9"/>
        <v>21406</v>
      </c>
      <c r="J154" s="23">
        <v>0</v>
      </c>
      <c r="K154" s="23">
        <f t="shared" si="10"/>
        <v>21406</v>
      </c>
      <c r="L154" s="23">
        <v>0</v>
      </c>
      <c r="M154" s="23">
        <f t="shared" si="11"/>
        <v>21406</v>
      </c>
      <c r="N154" s="24" t="s">
        <v>44</v>
      </c>
    </row>
    <row r="155" spans="1:14" ht="15.75" customHeight="1" x14ac:dyDescent="0.25">
      <c r="A155" s="458"/>
      <c r="B155" s="22" t="s">
        <v>115</v>
      </c>
      <c r="C155" s="37">
        <v>29.63</v>
      </c>
      <c r="D155" s="37">
        <v>9.7200000000000006</v>
      </c>
      <c r="E155" s="37">
        <f t="shared" si="8"/>
        <v>19.909999999999997</v>
      </c>
      <c r="F155" s="22" t="s">
        <v>38</v>
      </c>
      <c r="G155" s="22" t="s">
        <v>111</v>
      </c>
      <c r="H155" s="23">
        <v>500</v>
      </c>
      <c r="I155" s="23">
        <f t="shared" si="9"/>
        <v>9954.9999999999982</v>
      </c>
      <c r="J155" s="23">
        <v>0</v>
      </c>
      <c r="K155" s="23">
        <f t="shared" si="10"/>
        <v>9954.9999999999982</v>
      </c>
      <c r="L155" s="23">
        <v>0</v>
      </c>
      <c r="M155" s="23">
        <f t="shared" si="11"/>
        <v>9954.9999999999982</v>
      </c>
      <c r="N155" s="24" t="s">
        <v>44</v>
      </c>
    </row>
    <row r="156" spans="1:14" ht="15.75" customHeight="1" thickBot="1" x14ac:dyDescent="0.3">
      <c r="A156" s="459"/>
      <c r="B156" s="15" t="s">
        <v>58</v>
      </c>
      <c r="C156" s="52">
        <v>28.68</v>
      </c>
      <c r="D156" s="52">
        <v>9.83</v>
      </c>
      <c r="E156" s="52">
        <f t="shared" si="8"/>
        <v>18.850000000000001</v>
      </c>
      <c r="F156" s="15" t="s">
        <v>38</v>
      </c>
      <c r="G156" s="15" t="s">
        <v>111</v>
      </c>
      <c r="H156" s="16">
        <v>500</v>
      </c>
      <c r="I156" s="16">
        <f t="shared" si="9"/>
        <v>9425</v>
      </c>
      <c r="J156" s="16">
        <v>0</v>
      </c>
      <c r="K156" s="16">
        <f t="shared" si="10"/>
        <v>9425</v>
      </c>
      <c r="L156" s="16">
        <v>0</v>
      </c>
      <c r="M156" s="16">
        <f t="shared" si="11"/>
        <v>9425</v>
      </c>
      <c r="N156" s="17" t="s">
        <v>44</v>
      </c>
    </row>
    <row r="157" spans="1:14" ht="15.75" customHeight="1" x14ac:dyDescent="0.25">
      <c r="A157" s="457">
        <v>45790</v>
      </c>
      <c r="B157" s="12" t="s">
        <v>51</v>
      </c>
      <c r="C157" s="36">
        <v>30.07</v>
      </c>
      <c r="D157" s="36">
        <v>9.77</v>
      </c>
      <c r="E157" s="36">
        <f t="shared" si="8"/>
        <v>20.3</v>
      </c>
      <c r="F157" s="12" t="s">
        <v>23</v>
      </c>
      <c r="G157" s="12" t="s">
        <v>117</v>
      </c>
      <c r="H157" s="13">
        <v>1250</v>
      </c>
      <c r="I157" s="13">
        <f t="shared" si="9"/>
        <v>25375</v>
      </c>
      <c r="J157" s="13">
        <v>0</v>
      </c>
      <c r="K157" s="13">
        <f t="shared" si="10"/>
        <v>25375</v>
      </c>
      <c r="L157" s="13">
        <v>0</v>
      </c>
      <c r="M157" s="13">
        <f t="shared" si="11"/>
        <v>25375</v>
      </c>
      <c r="N157" s="14" t="s">
        <v>44</v>
      </c>
    </row>
    <row r="158" spans="1:14" ht="15.75" customHeight="1" x14ac:dyDescent="0.25">
      <c r="A158" s="458"/>
      <c r="B158" s="22" t="s">
        <v>88</v>
      </c>
      <c r="C158" s="37">
        <v>29.89</v>
      </c>
      <c r="D158" s="37">
        <v>11.1</v>
      </c>
      <c r="E158" s="37">
        <f t="shared" si="8"/>
        <v>18.79</v>
      </c>
      <c r="F158" s="22" t="s">
        <v>23</v>
      </c>
      <c r="G158" s="22" t="s">
        <v>89</v>
      </c>
      <c r="H158" s="23">
        <v>1250</v>
      </c>
      <c r="I158" s="23">
        <f t="shared" si="9"/>
        <v>23487.5</v>
      </c>
      <c r="J158" s="23">
        <v>0</v>
      </c>
      <c r="K158" s="23">
        <f t="shared" si="10"/>
        <v>23487.5</v>
      </c>
      <c r="L158" s="23">
        <v>0</v>
      </c>
      <c r="M158" s="23">
        <f t="shared" si="11"/>
        <v>23487.5</v>
      </c>
      <c r="N158" s="24" t="s">
        <v>44</v>
      </c>
    </row>
    <row r="159" spans="1:14" ht="15.75" customHeight="1" x14ac:dyDescent="0.25">
      <c r="A159" s="458"/>
      <c r="B159" s="22" t="s">
        <v>49</v>
      </c>
      <c r="C159" s="37">
        <v>29.48</v>
      </c>
      <c r="D159" s="37">
        <v>9.56</v>
      </c>
      <c r="E159" s="37">
        <f t="shared" si="8"/>
        <v>19.920000000000002</v>
      </c>
      <c r="F159" s="22" t="s">
        <v>23</v>
      </c>
      <c r="G159" s="22" t="s">
        <v>117</v>
      </c>
      <c r="H159" s="23">
        <v>1250</v>
      </c>
      <c r="I159" s="23">
        <f t="shared" si="9"/>
        <v>24900.000000000004</v>
      </c>
      <c r="J159" s="23">
        <v>0</v>
      </c>
      <c r="K159" s="23">
        <f t="shared" si="10"/>
        <v>24900.000000000004</v>
      </c>
      <c r="L159" s="23">
        <v>0</v>
      </c>
      <c r="M159" s="23">
        <f t="shared" si="11"/>
        <v>24900.000000000004</v>
      </c>
      <c r="N159" s="24" t="s">
        <v>44</v>
      </c>
    </row>
    <row r="160" spans="1:14" ht="15.75" customHeight="1" x14ac:dyDescent="0.25">
      <c r="A160" s="458"/>
      <c r="B160" s="22" t="s">
        <v>42</v>
      </c>
      <c r="C160" s="37">
        <v>28.89</v>
      </c>
      <c r="D160" s="37">
        <v>9.67</v>
      </c>
      <c r="E160" s="37">
        <f t="shared" si="8"/>
        <v>19.22</v>
      </c>
      <c r="F160" s="22" t="s">
        <v>35</v>
      </c>
      <c r="G160" s="22" t="s">
        <v>111</v>
      </c>
      <c r="H160" s="23">
        <v>1100</v>
      </c>
      <c r="I160" s="23">
        <f t="shared" si="9"/>
        <v>21142</v>
      </c>
      <c r="J160" s="23">
        <v>0</v>
      </c>
      <c r="K160" s="23">
        <f t="shared" si="10"/>
        <v>21142</v>
      </c>
      <c r="L160" s="23">
        <v>0</v>
      </c>
      <c r="M160" s="23">
        <f t="shared" si="11"/>
        <v>21142</v>
      </c>
      <c r="N160" s="24" t="s">
        <v>44</v>
      </c>
    </row>
    <row r="161" spans="1:14" ht="15.75" customHeight="1" x14ac:dyDescent="0.25">
      <c r="A161" s="458"/>
      <c r="B161" s="22" t="s">
        <v>22</v>
      </c>
      <c r="C161" s="37">
        <v>28.55</v>
      </c>
      <c r="D161" s="37">
        <v>9.83</v>
      </c>
      <c r="E161" s="37">
        <f t="shared" si="8"/>
        <v>18.72</v>
      </c>
      <c r="F161" s="22" t="s">
        <v>18</v>
      </c>
      <c r="G161" s="22" t="s">
        <v>117</v>
      </c>
      <c r="H161" s="23">
        <v>1125</v>
      </c>
      <c r="I161" s="23">
        <f t="shared" si="9"/>
        <v>21060</v>
      </c>
      <c r="J161" s="23">
        <v>0</v>
      </c>
      <c r="K161" s="23">
        <f t="shared" si="10"/>
        <v>21060</v>
      </c>
      <c r="L161" s="23">
        <v>0</v>
      </c>
      <c r="M161" s="23">
        <f t="shared" si="11"/>
        <v>21060</v>
      </c>
      <c r="N161" s="24" t="s">
        <v>44</v>
      </c>
    </row>
    <row r="162" spans="1:14" ht="15.75" customHeight="1" x14ac:dyDescent="0.25">
      <c r="A162" s="458"/>
      <c r="B162" s="22" t="s">
        <v>42</v>
      </c>
      <c r="C162" s="37">
        <v>29.99</v>
      </c>
      <c r="D162" s="37">
        <v>9.65</v>
      </c>
      <c r="E162" s="37">
        <f t="shared" si="8"/>
        <v>20.339999999999996</v>
      </c>
      <c r="F162" s="22" t="s">
        <v>38</v>
      </c>
      <c r="G162" s="22" t="s">
        <v>118</v>
      </c>
      <c r="H162" s="23">
        <v>500</v>
      </c>
      <c r="I162" s="23">
        <f t="shared" si="9"/>
        <v>10169.999999999998</v>
      </c>
      <c r="J162" s="23">
        <v>1000</v>
      </c>
      <c r="K162" s="23">
        <f t="shared" si="10"/>
        <v>11169.999999999998</v>
      </c>
      <c r="L162" s="23">
        <v>70</v>
      </c>
      <c r="M162" s="23">
        <f t="shared" si="11"/>
        <v>11099.999999999998</v>
      </c>
      <c r="N162" s="24" t="s">
        <v>20</v>
      </c>
    </row>
    <row r="163" spans="1:14" ht="15.75" customHeight="1" x14ac:dyDescent="0.25">
      <c r="A163" s="458"/>
      <c r="B163" s="22" t="s">
        <v>51</v>
      </c>
      <c r="C163" s="37">
        <v>27.59</v>
      </c>
      <c r="D163" s="37">
        <v>9.77</v>
      </c>
      <c r="E163" s="37">
        <f t="shared" si="8"/>
        <v>17.82</v>
      </c>
      <c r="F163" s="22" t="s">
        <v>18</v>
      </c>
      <c r="G163" s="22" t="s">
        <v>117</v>
      </c>
      <c r="H163" s="23">
        <v>1125</v>
      </c>
      <c r="I163" s="23">
        <f t="shared" si="9"/>
        <v>20047.5</v>
      </c>
      <c r="J163" s="23">
        <v>0</v>
      </c>
      <c r="K163" s="23">
        <f t="shared" si="10"/>
        <v>20047.5</v>
      </c>
      <c r="L163" s="23">
        <v>0</v>
      </c>
      <c r="M163" s="23">
        <f t="shared" si="11"/>
        <v>20047.5</v>
      </c>
      <c r="N163" s="24" t="s">
        <v>44</v>
      </c>
    </row>
    <row r="164" spans="1:14" ht="15.75" customHeight="1" x14ac:dyDescent="0.25">
      <c r="A164" s="458"/>
      <c r="B164" s="22" t="s">
        <v>49</v>
      </c>
      <c r="C164" s="37">
        <v>28.52</v>
      </c>
      <c r="D164" s="37">
        <v>9.56</v>
      </c>
      <c r="E164" s="37">
        <f t="shared" si="8"/>
        <v>18.96</v>
      </c>
      <c r="F164" s="22" t="s">
        <v>18</v>
      </c>
      <c r="G164" s="22" t="s">
        <v>117</v>
      </c>
      <c r="H164" s="23">
        <v>1125</v>
      </c>
      <c r="I164" s="23">
        <f t="shared" si="9"/>
        <v>21330</v>
      </c>
      <c r="J164" s="23">
        <v>0</v>
      </c>
      <c r="K164" s="23">
        <f t="shared" si="10"/>
        <v>21330</v>
      </c>
      <c r="L164" s="23">
        <v>0</v>
      </c>
      <c r="M164" s="23">
        <f t="shared" si="11"/>
        <v>21330</v>
      </c>
      <c r="N164" s="24" t="s">
        <v>44</v>
      </c>
    </row>
    <row r="165" spans="1:14" ht="15.75" customHeight="1" x14ac:dyDescent="0.25">
      <c r="A165" s="458"/>
      <c r="B165" s="22" t="s">
        <v>22</v>
      </c>
      <c r="C165" s="37">
        <v>29.23</v>
      </c>
      <c r="D165" s="37">
        <v>9.81</v>
      </c>
      <c r="E165" s="37">
        <f t="shared" si="8"/>
        <v>19.420000000000002</v>
      </c>
      <c r="F165" s="22" t="s">
        <v>35</v>
      </c>
      <c r="G165" s="22" t="s">
        <v>117</v>
      </c>
      <c r="H165" s="23">
        <v>1125</v>
      </c>
      <c r="I165" s="23">
        <f t="shared" si="9"/>
        <v>21847.500000000004</v>
      </c>
      <c r="J165" s="23">
        <v>0</v>
      </c>
      <c r="K165" s="23">
        <f t="shared" si="10"/>
        <v>21847.500000000004</v>
      </c>
      <c r="L165" s="23">
        <v>0</v>
      </c>
      <c r="M165" s="23">
        <f t="shared" si="11"/>
        <v>21847.500000000004</v>
      </c>
      <c r="N165" s="24" t="s">
        <v>44</v>
      </c>
    </row>
    <row r="166" spans="1:14" ht="15.75" customHeight="1" x14ac:dyDescent="0.25">
      <c r="A166" s="458"/>
      <c r="B166" s="22" t="s">
        <v>88</v>
      </c>
      <c r="C166" s="37">
        <v>32.08</v>
      </c>
      <c r="D166" s="37">
        <v>11.07</v>
      </c>
      <c r="E166" s="37">
        <f t="shared" si="8"/>
        <v>21.009999999999998</v>
      </c>
      <c r="F166" s="22" t="s">
        <v>35</v>
      </c>
      <c r="G166" s="22" t="s">
        <v>117</v>
      </c>
      <c r="H166" s="23">
        <v>1125</v>
      </c>
      <c r="I166" s="23">
        <f t="shared" si="9"/>
        <v>23636.249999999996</v>
      </c>
      <c r="J166" s="23">
        <v>0</v>
      </c>
      <c r="K166" s="23">
        <f t="shared" si="10"/>
        <v>23636.249999999996</v>
      </c>
      <c r="L166" s="23">
        <v>0</v>
      </c>
      <c r="M166" s="23">
        <f t="shared" si="11"/>
        <v>23636.249999999996</v>
      </c>
      <c r="N166" s="24" t="s">
        <v>44</v>
      </c>
    </row>
    <row r="167" spans="1:14" ht="15.75" customHeight="1" x14ac:dyDescent="0.25">
      <c r="A167" s="458"/>
      <c r="B167" s="22" t="s">
        <v>42</v>
      </c>
      <c r="C167" s="37">
        <v>29.13</v>
      </c>
      <c r="D167" s="37">
        <v>9.67</v>
      </c>
      <c r="E167" s="37">
        <f t="shared" si="8"/>
        <v>19.46</v>
      </c>
      <c r="F167" s="22" t="s">
        <v>35</v>
      </c>
      <c r="G167" s="22" t="s">
        <v>117</v>
      </c>
      <c r="H167" s="23">
        <v>1125</v>
      </c>
      <c r="I167" s="23">
        <f t="shared" si="9"/>
        <v>21892.5</v>
      </c>
      <c r="J167" s="23">
        <v>0</v>
      </c>
      <c r="K167" s="23">
        <f t="shared" si="10"/>
        <v>21892.5</v>
      </c>
      <c r="L167" s="23">
        <v>0</v>
      </c>
      <c r="M167" s="23">
        <f t="shared" si="11"/>
        <v>21892.5</v>
      </c>
      <c r="N167" s="24" t="s">
        <v>44</v>
      </c>
    </row>
    <row r="168" spans="1:14" ht="15.75" customHeight="1" x14ac:dyDescent="0.25">
      <c r="A168" s="458"/>
      <c r="B168" s="22" t="s">
        <v>51</v>
      </c>
      <c r="C168" s="37">
        <v>26.97</v>
      </c>
      <c r="D168" s="37">
        <v>9.77</v>
      </c>
      <c r="E168" s="37">
        <f t="shared" si="8"/>
        <v>17.2</v>
      </c>
      <c r="F168" s="22" t="s">
        <v>35</v>
      </c>
      <c r="G168" s="22" t="s">
        <v>117</v>
      </c>
      <c r="H168" s="23">
        <v>1125</v>
      </c>
      <c r="I168" s="23">
        <f t="shared" si="9"/>
        <v>19350</v>
      </c>
      <c r="J168" s="23">
        <v>0</v>
      </c>
      <c r="K168" s="23">
        <f t="shared" si="10"/>
        <v>19350</v>
      </c>
      <c r="L168" s="23">
        <v>0</v>
      </c>
      <c r="M168" s="23">
        <f t="shared" si="11"/>
        <v>19350</v>
      </c>
      <c r="N168" s="24" t="s">
        <v>44</v>
      </c>
    </row>
    <row r="169" spans="1:14" ht="15.75" customHeight="1" x14ac:dyDescent="0.25">
      <c r="A169" s="458"/>
      <c r="B169" s="22" t="s">
        <v>88</v>
      </c>
      <c r="C169" s="37">
        <v>29.56</v>
      </c>
      <c r="D169" s="37">
        <v>11.04</v>
      </c>
      <c r="E169" s="37">
        <f t="shared" si="8"/>
        <v>18.52</v>
      </c>
      <c r="F169" s="22" t="s">
        <v>35</v>
      </c>
      <c r="G169" s="22" t="s">
        <v>117</v>
      </c>
      <c r="H169" s="23">
        <v>1125</v>
      </c>
      <c r="I169" s="23">
        <f t="shared" si="9"/>
        <v>20835</v>
      </c>
      <c r="J169" s="23">
        <v>0</v>
      </c>
      <c r="K169" s="23">
        <f t="shared" si="10"/>
        <v>20835</v>
      </c>
      <c r="L169" s="23">
        <v>0</v>
      </c>
      <c r="M169" s="23">
        <f t="shared" si="11"/>
        <v>20835</v>
      </c>
      <c r="N169" s="24" t="s">
        <v>44</v>
      </c>
    </row>
    <row r="170" spans="1:14" ht="15.75" customHeight="1" x14ac:dyDescent="0.25">
      <c r="A170" s="458"/>
      <c r="B170" s="22" t="s">
        <v>42</v>
      </c>
      <c r="C170" s="37">
        <v>27.15</v>
      </c>
      <c r="D170" s="37">
        <v>9.67</v>
      </c>
      <c r="E170" s="37">
        <f t="shared" si="8"/>
        <v>17.479999999999997</v>
      </c>
      <c r="F170" s="22" t="s">
        <v>18</v>
      </c>
      <c r="G170" s="22" t="s">
        <v>117</v>
      </c>
      <c r="H170" s="23">
        <v>1125</v>
      </c>
      <c r="I170" s="23">
        <f t="shared" si="9"/>
        <v>19664.999999999996</v>
      </c>
      <c r="J170" s="23">
        <v>0</v>
      </c>
      <c r="K170" s="23">
        <f t="shared" si="10"/>
        <v>19664.999999999996</v>
      </c>
      <c r="L170" s="23">
        <v>0</v>
      </c>
      <c r="M170" s="23">
        <f t="shared" si="11"/>
        <v>19664.999999999996</v>
      </c>
      <c r="N170" s="24" t="s">
        <v>44</v>
      </c>
    </row>
    <row r="171" spans="1:14" ht="15.75" customHeight="1" x14ac:dyDescent="0.25">
      <c r="A171" s="458"/>
      <c r="B171" s="22" t="s">
        <v>49</v>
      </c>
      <c r="C171" s="37">
        <v>26.88</v>
      </c>
      <c r="D171" s="37">
        <v>9.56</v>
      </c>
      <c r="E171" s="37">
        <f t="shared" si="8"/>
        <v>17.32</v>
      </c>
      <c r="F171" s="22" t="s">
        <v>18</v>
      </c>
      <c r="G171" s="22" t="s">
        <v>117</v>
      </c>
      <c r="H171" s="23">
        <v>1125</v>
      </c>
      <c r="I171" s="23">
        <f t="shared" si="9"/>
        <v>19485</v>
      </c>
      <c r="J171" s="23">
        <v>0</v>
      </c>
      <c r="K171" s="23">
        <f t="shared" si="10"/>
        <v>19485</v>
      </c>
      <c r="L171" s="23">
        <v>0</v>
      </c>
      <c r="M171" s="23">
        <f t="shared" si="11"/>
        <v>19485</v>
      </c>
      <c r="N171" s="24" t="s">
        <v>44</v>
      </c>
    </row>
    <row r="172" spans="1:14" ht="15.75" customHeight="1" x14ac:dyDescent="0.25">
      <c r="A172" s="458"/>
      <c r="B172" s="22" t="s">
        <v>22</v>
      </c>
      <c r="C172" s="37">
        <v>28.59</v>
      </c>
      <c r="D172" s="37">
        <v>9.84</v>
      </c>
      <c r="E172" s="37">
        <f t="shared" si="8"/>
        <v>18.75</v>
      </c>
      <c r="F172" s="22" t="s">
        <v>23</v>
      </c>
      <c r="G172" s="22" t="s">
        <v>117</v>
      </c>
      <c r="H172" s="23">
        <v>1250</v>
      </c>
      <c r="I172" s="23">
        <f t="shared" si="9"/>
        <v>23437.5</v>
      </c>
      <c r="J172" s="23">
        <v>0</v>
      </c>
      <c r="K172" s="23">
        <f t="shared" si="10"/>
        <v>23437.5</v>
      </c>
      <c r="L172" s="23">
        <v>0</v>
      </c>
      <c r="M172" s="23">
        <f t="shared" si="11"/>
        <v>23437.5</v>
      </c>
      <c r="N172" s="24" t="s">
        <v>44</v>
      </c>
    </row>
    <row r="173" spans="1:14" ht="15.75" customHeight="1" x14ac:dyDescent="0.25">
      <c r="A173" s="458"/>
      <c r="B173" s="22" t="s">
        <v>88</v>
      </c>
      <c r="C173" s="37">
        <v>29.09</v>
      </c>
      <c r="D173" s="37">
        <v>11.01</v>
      </c>
      <c r="E173" s="37">
        <f t="shared" si="8"/>
        <v>18.079999999999998</v>
      </c>
      <c r="F173" s="22" t="s">
        <v>23</v>
      </c>
      <c r="G173" s="22" t="s">
        <v>119</v>
      </c>
      <c r="H173" s="23">
        <v>1250</v>
      </c>
      <c r="I173" s="23">
        <f t="shared" si="9"/>
        <v>22599.999999999996</v>
      </c>
      <c r="J173" s="23">
        <v>0</v>
      </c>
      <c r="K173" s="23">
        <f t="shared" si="10"/>
        <v>22599.999999999996</v>
      </c>
      <c r="L173" s="23">
        <v>0</v>
      </c>
      <c r="M173" s="23">
        <f t="shared" si="11"/>
        <v>22599.999999999996</v>
      </c>
      <c r="N173" s="24" t="s">
        <v>44</v>
      </c>
    </row>
    <row r="174" spans="1:14" ht="15.75" customHeight="1" x14ac:dyDescent="0.25">
      <c r="A174" s="458"/>
      <c r="B174" s="22" t="s">
        <v>51</v>
      </c>
      <c r="C174" s="37">
        <v>26.88</v>
      </c>
      <c r="D174" s="37">
        <v>9.77</v>
      </c>
      <c r="E174" s="37">
        <f t="shared" si="8"/>
        <v>17.11</v>
      </c>
      <c r="F174" s="22" t="s">
        <v>35</v>
      </c>
      <c r="G174" s="22" t="s">
        <v>120</v>
      </c>
      <c r="H174" s="23">
        <v>1125</v>
      </c>
      <c r="I174" s="23">
        <f t="shared" si="9"/>
        <v>19248.75</v>
      </c>
      <c r="J174" s="23">
        <v>0</v>
      </c>
      <c r="K174" s="23">
        <f t="shared" si="10"/>
        <v>19248.75</v>
      </c>
      <c r="L174" s="23">
        <v>0</v>
      </c>
      <c r="M174" s="23">
        <f t="shared" si="11"/>
        <v>19248.75</v>
      </c>
      <c r="N174" s="24" t="s">
        <v>44</v>
      </c>
    </row>
    <row r="175" spans="1:14" ht="15.75" customHeight="1" thickBot="1" x14ac:dyDescent="0.3">
      <c r="A175" s="459"/>
      <c r="B175" s="15" t="s">
        <v>115</v>
      </c>
      <c r="C175" s="52">
        <v>30.24</v>
      </c>
      <c r="D175" s="52">
        <v>9.65</v>
      </c>
      <c r="E175" s="52">
        <f t="shared" si="8"/>
        <v>20.589999999999996</v>
      </c>
      <c r="F175" s="15" t="s">
        <v>23</v>
      </c>
      <c r="G175" s="15" t="s">
        <v>120</v>
      </c>
      <c r="H175" s="16">
        <v>1250</v>
      </c>
      <c r="I175" s="16">
        <f t="shared" si="9"/>
        <v>25737.499999999996</v>
      </c>
      <c r="J175" s="16">
        <v>0</v>
      </c>
      <c r="K175" s="16">
        <f t="shared" si="10"/>
        <v>25737.499999999996</v>
      </c>
      <c r="L175" s="16">
        <v>0</v>
      </c>
      <c r="M175" s="16">
        <f t="shared" si="11"/>
        <v>25737.499999999996</v>
      </c>
      <c r="N175" s="17" t="s">
        <v>44</v>
      </c>
    </row>
    <row r="176" spans="1:14" ht="15.75" customHeight="1" x14ac:dyDescent="0.25">
      <c r="A176" s="457">
        <v>45791</v>
      </c>
      <c r="B176" s="12" t="s">
        <v>51</v>
      </c>
      <c r="C176" s="36">
        <v>28.5</v>
      </c>
      <c r="D176" s="36">
        <v>9.77</v>
      </c>
      <c r="E176" s="36">
        <f t="shared" si="8"/>
        <v>18.73</v>
      </c>
      <c r="F176" s="12" t="s">
        <v>26</v>
      </c>
      <c r="G176" s="12" t="s">
        <v>80</v>
      </c>
      <c r="H176" s="13">
        <v>1365</v>
      </c>
      <c r="I176" s="13">
        <f t="shared" si="9"/>
        <v>25566.45</v>
      </c>
      <c r="J176" s="13">
        <v>0</v>
      </c>
      <c r="K176" s="13">
        <f t="shared" si="10"/>
        <v>25566.45</v>
      </c>
      <c r="L176" s="13">
        <v>0</v>
      </c>
      <c r="M176" s="13">
        <f t="shared" si="11"/>
        <v>25566.45</v>
      </c>
      <c r="N176" s="14" t="s">
        <v>44</v>
      </c>
    </row>
    <row r="177" spans="1:14" ht="15.75" customHeight="1" x14ac:dyDescent="0.25">
      <c r="A177" s="458"/>
      <c r="B177" s="22" t="s">
        <v>58</v>
      </c>
      <c r="C177" s="37">
        <v>27.29</v>
      </c>
      <c r="D177" s="37">
        <v>9.7899999999999991</v>
      </c>
      <c r="E177" s="37">
        <f t="shared" si="8"/>
        <v>17.5</v>
      </c>
      <c r="F177" s="22" t="s">
        <v>26</v>
      </c>
      <c r="G177" s="22" t="s">
        <v>80</v>
      </c>
      <c r="H177" s="23">
        <v>1365</v>
      </c>
      <c r="I177" s="23">
        <f t="shared" si="9"/>
        <v>23887.5</v>
      </c>
      <c r="J177" s="23">
        <v>0</v>
      </c>
      <c r="K177" s="23">
        <f t="shared" si="10"/>
        <v>23887.5</v>
      </c>
      <c r="L177" s="23">
        <v>0</v>
      </c>
      <c r="M177" s="23">
        <f t="shared" si="11"/>
        <v>23887.5</v>
      </c>
      <c r="N177" s="24" t="s">
        <v>44</v>
      </c>
    </row>
    <row r="178" spans="1:14" ht="15.75" customHeight="1" x14ac:dyDescent="0.25">
      <c r="A178" s="458"/>
      <c r="B178" s="22" t="s">
        <v>67</v>
      </c>
      <c r="C178" s="37">
        <v>27.63</v>
      </c>
      <c r="D178" s="37">
        <v>9.6999999999999993</v>
      </c>
      <c r="E178" s="37">
        <f t="shared" si="8"/>
        <v>17.93</v>
      </c>
      <c r="F178" s="22" t="s">
        <v>26</v>
      </c>
      <c r="G178" s="22" t="s">
        <v>80</v>
      </c>
      <c r="H178" s="23">
        <v>1365</v>
      </c>
      <c r="I178" s="23">
        <f t="shared" si="9"/>
        <v>24474.45</v>
      </c>
      <c r="J178" s="23">
        <v>0</v>
      </c>
      <c r="K178" s="23">
        <f t="shared" si="10"/>
        <v>24474.45</v>
      </c>
      <c r="L178" s="23">
        <v>0</v>
      </c>
      <c r="M178" s="23">
        <f t="shared" si="11"/>
        <v>24474.45</v>
      </c>
      <c r="N178" s="24" t="s">
        <v>44</v>
      </c>
    </row>
    <row r="179" spans="1:14" ht="15.75" customHeight="1" x14ac:dyDescent="0.25">
      <c r="A179" s="458"/>
      <c r="B179" s="22" t="s">
        <v>115</v>
      </c>
      <c r="C179" s="37">
        <v>27.49</v>
      </c>
      <c r="D179" s="37">
        <v>9.68</v>
      </c>
      <c r="E179" s="37">
        <f t="shared" si="8"/>
        <v>17.809999999999999</v>
      </c>
      <c r="F179" s="22" t="s">
        <v>26</v>
      </c>
      <c r="G179" s="22" t="s">
        <v>80</v>
      </c>
      <c r="H179" s="23">
        <v>1365</v>
      </c>
      <c r="I179" s="23">
        <f t="shared" si="9"/>
        <v>24310.649999999998</v>
      </c>
      <c r="J179" s="23">
        <v>0</v>
      </c>
      <c r="K179" s="23">
        <f t="shared" si="10"/>
        <v>24310.649999999998</v>
      </c>
      <c r="L179" s="23">
        <v>0</v>
      </c>
      <c r="M179" s="23">
        <f t="shared" si="11"/>
        <v>24310.649999999998</v>
      </c>
      <c r="N179" s="24" t="s">
        <v>44</v>
      </c>
    </row>
    <row r="180" spans="1:14" ht="15.75" customHeight="1" x14ac:dyDescent="0.25">
      <c r="A180" s="458"/>
      <c r="B180" s="22" t="s">
        <v>22</v>
      </c>
      <c r="C180" s="37">
        <v>28.53</v>
      </c>
      <c r="D180" s="37">
        <v>9.86</v>
      </c>
      <c r="E180" s="37">
        <f t="shared" si="8"/>
        <v>18.670000000000002</v>
      </c>
      <c r="F180" s="22" t="s">
        <v>26</v>
      </c>
      <c r="G180" s="22" t="s">
        <v>80</v>
      </c>
      <c r="H180" s="23">
        <v>1365</v>
      </c>
      <c r="I180" s="23">
        <f t="shared" si="9"/>
        <v>25484.550000000003</v>
      </c>
      <c r="J180" s="23">
        <v>0</v>
      </c>
      <c r="K180" s="23">
        <f t="shared" si="10"/>
        <v>25484.550000000003</v>
      </c>
      <c r="L180" s="23">
        <v>0</v>
      </c>
      <c r="M180" s="23">
        <f t="shared" si="11"/>
        <v>25484.550000000003</v>
      </c>
      <c r="N180" s="24" t="s">
        <v>44</v>
      </c>
    </row>
    <row r="181" spans="1:14" ht="15.75" customHeight="1" x14ac:dyDescent="0.25">
      <c r="A181" s="458"/>
      <c r="B181" s="22" t="s">
        <v>30</v>
      </c>
      <c r="C181" s="37">
        <v>28.48</v>
      </c>
      <c r="D181" s="37">
        <v>9.82</v>
      </c>
      <c r="E181" s="37">
        <f t="shared" si="8"/>
        <v>18.66</v>
      </c>
      <c r="F181" s="22" t="s">
        <v>26</v>
      </c>
      <c r="G181" s="22" t="s">
        <v>95</v>
      </c>
      <c r="H181" s="23">
        <v>1225</v>
      </c>
      <c r="I181" s="23">
        <f t="shared" si="9"/>
        <v>22858.5</v>
      </c>
      <c r="J181" s="23">
        <v>0</v>
      </c>
      <c r="K181" s="23">
        <f t="shared" si="10"/>
        <v>22858.5</v>
      </c>
      <c r="L181" s="23">
        <v>0</v>
      </c>
      <c r="M181" s="23">
        <f t="shared" si="11"/>
        <v>22858.5</v>
      </c>
      <c r="N181" s="24" t="s">
        <v>44</v>
      </c>
    </row>
    <row r="182" spans="1:14" ht="15.75" customHeight="1" x14ac:dyDescent="0.25">
      <c r="A182" s="458"/>
      <c r="B182" s="22" t="s">
        <v>42</v>
      </c>
      <c r="C182" s="37">
        <v>28.11</v>
      </c>
      <c r="D182" s="37">
        <v>9.65</v>
      </c>
      <c r="E182" s="37">
        <f t="shared" si="8"/>
        <v>18.46</v>
      </c>
      <c r="F182" s="22" t="s">
        <v>26</v>
      </c>
      <c r="G182" s="22" t="s">
        <v>95</v>
      </c>
      <c r="H182" s="23">
        <v>1225</v>
      </c>
      <c r="I182" s="23">
        <f t="shared" si="9"/>
        <v>22613.5</v>
      </c>
      <c r="J182" s="23">
        <v>0</v>
      </c>
      <c r="K182" s="23">
        <f t="shared" si="10"/>
        <v>22613.5</v>
      </c>
      <c r="L182" s="23">
        <v>0</v>
      </c>
      <c r="M182" s="23">
        <f t="shared" si="11"/>
        <v>22613.5</v>
      </c>
      <c r="N182" s="24" t="s">
        <v>44</v>
      </c>
    </row>
    <row r="183" spans="1:14" ht="15.75" customHeight="1" x14ac:dyDescent="0.25">
      <c r="A183" s="458"/>
      <c r="B183" s="22" t="s">
        <v>49</v>
      </c>
      <c r="C183" s="37">
        <v>28.47</v>
      </c>
      <c r="D183" s="37">
        <v>9.5399999999999991</v>
      </c>
      <c r="E183" s="37">
        <f t="shared" si="8"/>
        <v>18.93</v>
      </c>
      <c r="F183" s="22" t="s">
        <v>26</v>
      </c>
      <c r="G183" s="22" t="s">
        <v>95</v>
      </c>
      <c r="H183" s="23">
        <v>1225</v>
      </c>
      <c r="I183" s="23">
        <f t="shared" si="9"/>
        <v>23189.25</v>
      </c>
      <c r="J183" s="23">
        <v>0</v>
      </c>
      <c r="K183" s="23">
        <f t="shared" si="10"/>
        <v>23189.25</v>
      </c>
      <c r="L183" s="23">
        <v>0</v>
      </c>
      <c r="M183" s="23">
        <f t="shared" si="11"/>
        <v>23189.25</v>
      </c>
      <c r="N183" s="24" t="s">
        <v>44</v>
      </c>
    </row>
    <row r="184" spans="1:14" ht="15.75" customHeight="1" x14ac:dyDescent="0.25">
      <c r="A184" s="458"/>
      <c r="B184" s="22" t="s">
        <v>88</v>
      </c>
      <c r="C184" s="37">
        <v>24.28</v>
      </c>
      <c r="D184" s="37">
        <v>10.92</v>
      </c>
      <c r="E184" s="37">
        <f t="shared" si="8"/>
        <v>13.360000000000001</v>
      </c>
      <c r="F184" s="22" t="s">
        <v>23</v>
      </c>
      <c r="G184" s="22" t="s">
        <v>118</v>
      </c>
      <c r="H184" s="23">
        <v>1350</v>
      </c>
      <c r="I184" s="23">
        <f t="shared" si="9"/>
        <v>18036</v>
      </c>
      <c r="J184" s="23">
        <v>1000</v>
      </c>
      <c r="K184" s="23">
        <f t="shared" si="10"/>
        <v>19036</v>
      </c>
      <c r="L184" s="23">
        <v>36</v>
      </c>
      <c r="M184" s="23">
        <f t="shared" si="11"/>
        <v>19000</v>
      </c>
      <c r="N184" s="24" t="s">
        <v>25</v>
      </c>
    </row>
    <row r="185" spans="1:14" ht="15.75" customHeight="1" x14ac:dyDescent="0.25">
      <c r="A185" s="458"/>
      <c r="B185" s="22" t="s">
        <v>88</v>
      </c>
      <c r="C185" s="37">
        <v>34.44</v>
      </c>
      <c r="D185" s="37">
        <v>10.91</v>
      </c>
      <c r="E185" s="37">
        <f t="shared" si="8"/>
        <v>23.529999999999998</v>
      </c>
      <c r="F185" s="22" t="s">
        <v>38</v>
      </c>
      <c r="G185" s="22" t="s">
        <v>94</v>
      </c>
      <c r="H185" s="23">
        <v>500</v>
      </c>
      <c r="I185" s="23">
        <f t="shared" si="9"/>
        <v>11764.999999999998</v>
      </c>
      <c r="J185" s="23">
        <v>1000</v>
      </c>
      <c r="K185" s="23">
        <f t="shared" si="10"/>
        <v>12764.999999999998</v>
      </c>
      <c r="L185" s="23">
        <v>15</v>
      </c>
      <c r="M185" s="23">
        <f t="shared" si="11"/>
        <v>12749.999999999998</v>
      </c>
      <c r="N185" s="24" t="s">
        <v>25</v>
      </c>
    </row>
    <row r="186" spans="1:14" ht="15.75" customHeight="1" x14ac:dyDescent="0.25">
      <c r="A186" s="458"/>
      <c r="B186" s="22" t="s">
        <v>67</v>
      </c>
      <c r="C186" s="37">
        <v>29.05</v>
      </c>
      <c r="D186" s="37">
        <v>9.67</v>
      </c>
      <c r="E186" s="37">
        <f t="shared" si="8"/>
        <v>19.380000000000003</v>
      </c>
      <c r="F186" s="22" t="s">
        <v>26</v>
      </c>
      <c r="G186" s="22" t="s">
        <v>80</v>
      </c>
      <c r="H186" s="23">
        <v>1365</v>
      </c>
      <c r="I186" s="23">
        <f t="shared" si="9"/>
        <v>26453.700000000004</v>
      </c>
      <c r="J186" s="23">
        <v>0</v>
      </c>
      <c r="K186" s="23">
        <f t="shared" si="10"/>
        <v>26453.700000000004</v>
      </c>
      <c r="L186" s="23">
        <v>0</v>
      </c>
      <c r="M186" s="23">
        <f t="shared" si="11"/>
        <v>26453.700000000004</v>
      </c>
      <c r="N186" s="24" t="s">
        <v>44</v>
      </c>
    </row>
    <row r="187" spans="1:14" ht="15.75" customHeight="1" x14ac:dyDescent="0.25">
      <c r="A187" s="458"/>
      <c r="B187" s="22" t="s">
        <v>115</v>
      </c>
      <c r="C187" s="37">
        <v>28.9</v>
      </c>
      <c r="D187" s="37">
        <v>9.68</v>
      </c>
      <c r="E187" s="37">
        <f t="shared" si="8"/>
        <v>19.22</v>
      </c>
      <c r="F187" s="22" t="s">
        <v>26</v>
      </c>
      <c r="G187" s="22" t="s">
        <v>80</v>
      </c>
      <c r="H187" s="23">
        <v>1365</v>
      </c>
      <c r="I187" s="23">
        <f t="shared" si="9"/>
        <v>26235.3</v>
      </c>
      <c r="J187" s="23">
        <v>0</v>
      </c>
      <c r="K187" s="23">
        <f t="shared" si="10"/>
        <v>26235.3</v>
      </c>
      <c r="L187" s="23">
        <v>0</v>
      </c>
      <c r="M187" s="23">
        <f t="shared" si="11"/>
        <v>26235.3</v>
      </c>
      <c r="N187" s="24" t="s">
        <v>44</v>
      </c>
    </row>
    <row r="188" spans="1:14" ht="15.75" customHeight="1" x14ac:dyDescent="0.25">
      <c r="A188" s="458"/>
      <c r="B188" s="22" t="s">
        <v>58</v>
      </c>
      <c r="C188" s="37">
        <v>29.05</v>
      </c>
      <c r="D188" s="37">
        <v>9.7799999999999994</v>
      </c>
      <c r="E188" s="37">
        <f t="shared" si="8"/>
        <v>19.270000000000003</v>
      </c>
      <c r="F188" s="22" t="s">
        <v>26</v>
      </c>
      <c r="G188" s="22" t="s">
        <v>80</v>
      </c>
      <c r="H188" s="23">
        <v>1365</v>
      </c>
      <c r="I188" s="23">
        <f t="shared" si="9"/>
        <v>26303.550000000003</v>
      </c>
      <c r="J188" s="23">
        <v>0</v>
      </c>
      <c r="K188" s="23">
        <f t="shared" si="10"/>
        <v>26303.550000000003</v>
      </c>
      <c r="L188" s="23">
        <v>0</v>
      </c>
      <c r="M188" s="23">
        <f t="shared" si="11"/>
        <v>26303.550000000003</v>
      </c>
      <c r="N188" s="24" t="s">
        <v>44</v>
      </c>
    </row>
    <row r="189" spans="1:14" ht="15.75" customHeight="1" x14ac:dyDescent="0.25">
      <c r="A189" s="458"/>
      <c r="B189" s="22" t="s">
        <v>51</v>
      </c>
      <c r="C189" s="37">
        <v>28.28</v>
      </c>
      <c r="D189" s="37">
        <v>9.7899999999999991</v>
      </c>
      <c r="E189" s="37">
        <f t="shared" si="8"/>
        <v>18.490000000000002</v>
      </c>
      <c r="F189" s="22" t="s">
        <v>26</v>
      </c>
      <c r="G189" s="22" t="s">
        <v>80</v>
      </c>
      <c r="H189" s="23">
        <v>1365</v>
      </c>
      <c r="I189" s="23">
        <f t="shared" si="9"/>
        <v>25238.850000000002</v>
      </c>
      <c r="J189" s="23">
        <v>0</v>
      </c>
      <c r="K189" s="23">
        <f t="shared" si="10"/>
        <v>25238.850000000002</v>
      </c>
      <c r="L189" s="23">
        <v>0</v>
      </c>
      <c r="M189" s="23">
        <f t="shared" si="11"/>
        <v>25238.850000000002</v>
      </c>
      <c r="N189" s="24" t="s">
        <v>44</v>
      </c>
    </row>
    <row r="190" spans="1:14" ht="15.75" customHeight="1" x14ac:dyDescent="0.25">
      <c r="A190" s="458"/>
      <c r="B190" s="22" t="s">
        <v>30</v>
      </c>
      <c r="C190" s="37">
        <v>28.58</v>
      </c>
      <c r="D190" s="37">
        <v>9.74</v>
      </c>
      <c r="E190" s="37">
        <f t="shared" si="8"/>
        <v>18.839999999999996</v>
      </c>
      <c r="F190" s="22" t="s">
        <v>26</v>
      </c>
      <c r="G190" s="22" t="s">
        <v>95</v>
      </c>
      <c r="H190" s="23">
        <v>1225</v>
      </c>
      <c r="I190" s="23">
        <f t="shared" si="9"/>
        <v>23078.999999999996</v>
      </c>
      <c r="J190" s="23">
        <v>0</v>
      </c>
      <c r="K190" s="23">
        <f t="shared" si="10"/>
        <v>23078.999999999996</v>
      </c>
      <c r="L190" s="23">
        <v>0</v>
      </c>
      <c r="M190" s="23">
        <f t="shared" si="11"/>
        <v>23078.999999999996</v>
      </c>
      <c r="N190" s="24" t="s">
        <v>44</v>
      </c>
    </row>
    <row r="191" spans="1:14" ht="15.75" customHeight="1" thickBot="1" x14ac:dyDescent="0.3">
      <c r="A191" s="459"/>
      <c r="B191" s="15" t="s">
        <v>88</v>
      </c>
      <c r="C191" s="52">
        <v>29.59</v>
      </c>
      <c r="D191" s="52">
        <v>10.92</v>
      </c>
      <c r="E191" s="52">
        <f t="shared" si="8"/>
        <v>18.670000000000002</v>
      </c>
      <c r="F191" s="15" t="s">
        <v>35</v>
      </c>
      <c r="G191" s="15" t="s">
        <v>89</v>
      </c>
      <c r="H191" s="16">
        <v>1125</v>
      </c>
      <c r="I191" s="16">
        <f t="shared" si="9"/>
        <v>21003.750000000004</v>
      </c>
      <c r="J191" s="16">
        <v>0</v>
      </c>
      <c r="K191" s="16">
        <f t="shared" si="10"/>
        <v>21003.750000000004</v>
      </c>
      <c r="L191" s="16">
        <v>0</v>
      </c>
      <c r="M191" s="16">
        <f t="shared" si="11"/>
        <v>21003.750000000004</v>
      </c>
      <c r="N191" s="17" t="s">
        <v>44</v>
      </c>
    </row>
    <row r="192" spans="1:14" ht="15.75" customHeight="1" x14ac:dyDescent="0.25">
      <c r="A192" s="457">
        <v>45792</v>
      </c>
      <c r="B192" s="12" t="s">
        <v>51</v>
      </c>
      <c r="C192" s="36">
        <v>28.08</v>
      </c>
      <c r="D192" s="36">
        <v>9.7799999999999994</v>
      </c>
      <c r="E192" s="36">
        <f t="shared" si="8"/>
        <v>18.299999999999997</v>
      </c>
      <c r="F192" s="12" t="s">
        <v>35</v>
      </c>
      <c r="G192" s="12" t="s">
        <v>111</v>
      </c>
      <c r="H192" s="13">
        <v>1100</v>
      </c>
      <c r="I192" s="13">
        <f t="shared" si="9"/>
        <v>20129.999999999996</v>
      </c>
      <c r="J192" s="13">
        <v>0</v>
      </c>
      <c r="K192" s="13">
        <f t="shared" si="10"/>
        <v>20129.999999999996</v>
      </c>
      <c r="L192" s="13">
        <v>0</v>
      </c>
      <c r="M192" s="13">
        <f t="shared" si="11"/>
        <v>20129.999999999996</v>
      </c>
      <c r="N192" s="14" t="s">
        <v>44</v>
      </c>
    </row>
    <row r="193" spans="1:14" ht="15.75" customHeight="1" x14ac:dyDescent="0.25">
      <c r="A193" s="458"/>
      <c r="B193" s="22" t="s">
        <v>67</v>
      </c>
      <c r="C193" s="37">
        <v>30.33</v>
      </c>
      <c r="D193" s="37">
        <v>9.69</v>
      </c>
      <c r="E193" s="37">
        <f t="shared" si="8"/>
        <v>20.64</v>
      </c>
      <c r="F193" s="22" t="s">
        <v>38</v>
      </c>
      <c r="G193" s="22" t="s">
        <v>111</v>
      </c>
      <c r="H193" s="23">
        <v>500</v>
      </c>
      <c r="I193" s="23">
        <f t="shared" si="9"/>
        <v>10320</v>
      </c>
      <c r="J193" s="23">
        <v>0</v>
      </c>
      <c r="K193" s="23">
        <f t="shared" si="10"/>
        <v>10320</v>
      </c>
      <c r="L193" s="23">
        <v>0</v>
      </c>
      <c r="M193" s="23">
        <f t="shared" si="11"/>
        <v>10320</v>
      </c>
      <c r="N193" s="24" t="s">
        <v>44</v>
      </c>
    </row>
    <row r="194" spans="1:14" ht="15.75" customHeight="1" x14ac:dyDescent="0.25">
      <c r="A194" s="458"/>
      <c r="B194" s="22" t="s">
        <v>58</v>
      </c>
      <c r="C194" s="37">
        <v>30.72</v>
      </c>
      <c r="D194" s="37">
        <v>9.77</v>
      </c>
      <c r="E194" s="37">
        <f t="shared" si="8"/>
        <v>20.95</v>
      </c>
      <c r="F194" s="22" t="s">
        <v>38</v>
      </c>
      <c r="G194" s="22" t="s">
        <v>111</v>
      </c>
      <c r="H194" s="23">
        <v>500</v>
      </c>
      <c r="I194" s="23">
        <f t="shared" si="9"/>
        <v>10475</v>
      </c>
      <c r="J194" s="23">
        <v>0</v>
      </c>
      <c r="K194" s="23">
        <f t="shared" si="10"/>
        <v>10475</v>
      </c>
      <c r="L194" s="23">
        <v>0</v>
      </c>
      <c r="M194" s="23">
        <f t="shared" si="11"/>
        <v>10475</v>
      </c>
      <c r="N194" s="24" t="s">
        <v>44</v>
      </c>
    </row>
    <row r="195" spans="1:14" ht="15.75" customHeight="1" x14ac:dyDescent="0.25">
      <c r="A195" s="458"/>
      <c r="B195" s="22" t="s">
        <v>30</v>
      </c>
      <c r="C195" s="37">
        <v>28.08</v>
      </c>
      <c r="D195" s="37">
        <v>9.73</v>
      </c>
      <c r="E195" s="37">
        <f t="shared" si="8"/>
        <v>18.349999999999998</v>
      </c>
      <c r="F195" s="22" t="s">
        <v>35</v>
      </c>
      <c r="G195" s="22" t="s">
        <v>111</v>
      </c>
      <c r="H195" s="23">
        <v>1100</v>
      </c>
      <c r="I195" s="23">
        <f t="shared" si="9"/>
        <v>20184.999999999996</v>
      </c>
      <c r="J195" s="23">
        <v>0</v>
      </c>
      <c r="K195" s="23">
        <f t="shared" si="10"/>
        <v>20184.999999999996</v>
      </c>
      <c r="L195" s="23">
        <v>0</v>
      </c>
      <c r="M195" s="23">
        <f t="shared" si="11"/>
        <v>20184.999999999996</v>
      </c>
      <c r="N195" s="24" t="s">
        <v>44</v>
      </c>
    </row>
    <row r="196" spans="1:14" ht="15.75" customHeight="1" x14ac:dyDescent="0.25">
      <c r="A196" s="458"/>
      <c r="B196" s="22" t="s">
        <v>115</v>
      </c>
      <c r="C196" s="37">
        <v>29.48</v>
      </c>
      <c r="D196" s="37">
        <v>9.68</v>
      </c>
      <c r="E196" s="37">
        <f t="shared" si="8"/>
        <v>19.8</v>
      </c>
      <c r="F196" s="22" t="s">
        <v>35</v>
      </c>
      <c r="G196" s="22" t="s">
        <v>111</v>
      </c>
      <c r="H196" s="23">
        <v>1100</v>
      </c>
      <c r="I196" s="23">
        <f t="shared" si="9"/>
        <v>21780</v>
      </c>
      <c r="J196" s="23">
        <v>0</v>
      </c>
      <c r="K196" s="23">
        <f t="shared" si="10"/>
        <v>21780</v>
      </c>
      <c r="L196" s="23">
        <v>0</v>
      </c>
      <c r="M196" s="23">
        <f t="shared" si="11"/>
        <v>21780</v>
      </c>
      <c r="N196" s="24" t="s">
        <v>44</v>
      </c>
    </row>
    <row r="197" spans="1:14" ht="15.75" customHeight="1" x14ac:dyDescent="0.25">
      <c r="A197" s="458"/>
      <c r="B197" s="22" t="s">
        <v>42</v>
      </c>
      <c r="C197" s="37">
        <v>29.52</v>
      </c>
      <c r="D197" s="37">
        <v>9.6300000000000008</v>
      </c>
      <c r="E197" s="37">
        <f t="shared" si="8"/>
        <v>19.89</v>
      </c>
      <c r="F197" s="22" t="s">
        <v>38</v>
      </c>
      <c r="G197" s="22" t="s">
        <v>111</v>
      </c>
      <c r="H197" s="23">
        <v>500</v>
      </c>
      <c r="I197" s="23">
        <f t="shared" si="9"/>
        <v>9945</v>
      </c>
      <c r="J197" s="23">
        <v>0</v>
      </c>
      <c r="K197" s="23">
        <f t="shared" si="10"/>
        <v>9945</v>
      </c>
      <c r="L197" s="23">
        <v>0</v>
      </c>
      <c r="M197" s="23">
        <f t="shared" si="11"/>
        <v>9945</v>
      </c>
      <c r="N197" s="24" t="s">
        <v>44</v>
      </c>
    </row>
    <row r="198" spans="1:14" ht="15.75" customHeight="1" x14ac:dyDescent="0.25">
      <c r="A198" s="458"/>
      <c r="B198" s="22" t="s">
        <v>49</v>
      </c>
      <c r="C198" s="37">
        <v>27.32</v>
      </c>
      <c r="D198" s="37">
        <v>9.5399999999999991</v>
      </c>
      <c r="E198" s="37">
        <f t="shared" si="8"/>
        <v>17.78</v>
      </c>
      <c r="F198" s="22" t="s">
        <v>23</v>
      </c>
      <c r="G198" s="22" t="s">
        <v>121</v>
      </c>
      <c r="H198" s="23">
        <v>1300</v>
      </c>
      <c r="I198" s="23">
        <f t="shared" si="9"/>
        <v>23114</v>
      </c>
      <c r="J198" s="23">
        <v>0</v>
      </c>
      <c r="K198" s="23">
        <f t="shared" si="10"/>
        <v>23114</v>
      </c>
      <c r="L198" s="23">
        <v>0</v>
      </c>
      <c r="M198" s="23">
        <f t="shared" si="11"/>
        <v>23114</v>
      </c>
      <c r="N198" s="24" t="s">
        <v>25</v>
      </c>
    </row>
    <row r="199" spans="1:14" ht="15.75" customHeight="1" x14ac:dyDescent="0.25">
      <c r="A199" s="458"/>
      <c r="B199" s="22" t="s">
        <v>122</v>
      </c>
      <c r="C199" s="37">
        <v>3.96</v>
      </c>
      <c r="D199" s="37">
        <v>2.23</v>
      </c>
      <c r="E199" s="37">
        <f t="shared" si="8"/>
        <v>1.73</v>
      </c>
      <c r="F199" s="22" t="s">
        <v>23</v>
      </c>
      <c r="G199" s="22" t="s">
        <v>123</v>
      </c>
      <c r="H199" s="23">
        <v>1300</v>
      </c>
      <c r="I199" s="23">
        <f t="shared" si="9"/>
        <v>2249</v>
      </c>
      <c r="J199" s="23">
        <v>0</v>
      </c>
      <c r="K199" s="23">
        <f t="shared" si="10"/>
        <v>2249</v>
      </c>
      <c r="L199" s="23">
        <v>-1</v>
      </c>
      <c r="M199" s="23">
        <f t="shared" si="11"/>
        <v>2250</v>
      </c>
      <c r="N199" s="24" t="s">
        <v>20</v>
      </c>
    </row>
    <row r="200" spans="1:14" ht="15.75" customHeight="1" x14ac:dyDescent="0.25">
      <c r="A200" s="458"/>
      <c r="B200" s="22" t="s">
        <v>49</v>
      </c>
      <c r="C200" s="37">
        <v>28.93</v>
      </c>
      <c r="D200" s="37">
        <v>9.5399999999999991</v>
      </c>
      <c r="E200" s="37">
        <f t="shared" si="8"/>
        <v>19.39</v>
      </c>
      <c r="F200" s="22" t="s">
        <v>38</v>
      </c>
      <c r="G200" s="22" t="s">
        <v>111</v>
      </c>
      <c r="H200" s="23">
        <v>500</v>
      </c>
      <c r="I200" s="23">
        <f t="shared" si="9"/>
        <v>9695</v>
      </c>
      <c r="J200" s="23">
        <v>0</v>
      </c>
      <c r="K200" s="23">
        <f t="shared" si="10"/>
        <v>9695</v>
      </c>
      <c r="L200" s="23">
        <v>0</v>
      </c>
      <c r="M200" s="23">
        <f t="shared" si="11"/>
        <v>9695</v>
      </c>
      <c r="N200" s="24" t="s">
        <v>44</v>
      </c>
    </row>
    <row r="201" spans="1:14" ht="15.75" customHeight="1" x14ac:dyDescent="0.25">
      <c r="A201" s="458"/>
      <c r="B201" s="22" t="s">
        <v>42</v>
      </c>
      <c r="C201" s="37">
        <v>28.9</v>
      </c>
      <c r="D201" s="37">
        <v>9.64</v>
      </c>
      <c r="E201" s="37">
        <f t="shared" si="8"/>
        <v>19.259999999999998</v>
      </c>
      <c r="F201" s="22" t="s">
        <v>38</v>
      </c>
      <c r="G201" s="22" t="s">
        <v>111</v>
      </c>
      <c r="H201" s="23">
        <v>500</v>
      </c>
      <c r="I201" s="23">
        <f t="shared" si="9"/>
        <v>9629.9999999999982</v>
      </c>
      <c r="J201" s="23">
        <v>0</v>
      </c>
      <c r="K201" s="23">
        <f t="shared" si="10"/>
        <v>9629.9999999999982</v>
      </c>
      <c r="L201" s="23">
        <v>0</v>
      </c>
      <c r="M201" s="23">
        <f t="shared" si="11"/>
        <v>9629.9999999999982</v>
      </c>
      <c r="N201" s="24" t="s">
        <v>44</v>
      </c>
    </row>
    <row r="202" spans="1:14" ht="15.75" customHeight="1" x14ac:dyDescent="0.25">
      <c r="A202" s="458"/>
      <c r="B202" s="22" t="s">
        <v>22</v>
      </c>
      <c r="C202" s="37">
        <v>29.03</v>
      </c>
      <c r="D202" s="37">
        <v>9.84</v>
      </c>
      <c r="E202" s="37">
        <f t="shared" si="8"/>
        <v>19.190000000000001</v>
      </c>
      <c r="F202" s="22" t="s">
        <v>35</v>
      </c>
      <c r="G202" s="22" t="s">
        <v>111</v>
      </c>
      <c r="H202" s="23">
        <v>1100</v>
      </c>
      <c r="I202" s="23">
        <f t="shared" si="9"/>
        <v>21109</v>
      </c>
      <c r="J202" s="23">
        <v>0</v>
      </c>
      <c r="K202" s="23">
        <f t="shared" si="10"/>
        <v>21109</v>
      </c>
      <c r="L202" s="23">
        <v>0</v>
      </c>
      <c r="M202" s="23">
        <f t="shared" si="11"/>
        <v>21109</v>
      </c>
      <c r="N202" s="24" t="s">
        <v>44</v>
      </c>
    </row>
    <row r="203" spans="1:14" ht="15.75" customHeight="1" thickBot="1" x14ac:dyDescent="0.3">
      <c r="A203" s="459"/>
      <c r="B203" s="15" t="s">
        <v>17</v>
      </c>
      <c r="C203" s="52">
        <v>6.61</v>
      </c>
      <c r="D203" s="52">
        <v>2.88</v>
      </c>
      <c r="E203" s="52">
        <f t="shared" si="8"/>
        <v>3.7300000000000004</v>
      </c>
      <c r="F203" s="15" t="s">
        <v>23</v>
      </c>
      <c r="G203" s="15" t="s">
        <v>124</v>
      </c>
      <c r="H203" s="16">
        <v>1350</v>
      </c>
      <c r="I203" s="16">
        <f t="shared" si="9"/>
        <v>5035.5000000000009</v>
      </c>
      <c r="J203" s="16">
        <v>0</v>
      </c>
      <c r="K203" s="16">
        <f t="shared" si="10"/>
        <v>5035.5000000000009</v>
      </c>
      <c r="L203" s="16">
        <v>15</v>
      </c>
      <c r="M203" s="16">
        <f t="shared" si="11"/>
        <v>5020.5000000000009</v>
      </c>
      <c r="N203" s="17" t="s">
        <v>20</v>
      </c>
    </row>
    <row r="204" spans="1:14" ht="15.75" customHeight="1" x14ac:dyDescent="0.25">
      <c r="A204" s="457">
        <v>45793</v>
      </c>
      <c r="B204" s="12" t="s">
        <v>30</v>
      </c>
      <c r="C204" s="36">
        <v>28.45</v>
      </c>
      <c r="D204" s="36">
        <v>9.74</v>
      </c>
      <c r="E204" s="36">
        <f t="shared" si="8"/>
        <v>18.71</v>
      </c>
      <c r="F204" s="12" t="s">
        <v>35</v>
      </c>
      <c r="G204" s="12" t="s">
        <v>111</v>
      </c>
      <c r="H204" s="13">
        <v>1100</v>
      </c>
      <c r="I204" s="13">
        <f t="shared" si="9"/>
        <v>20581</v>
      </c>
      <c r="J204" s="13">
        <v>0</v>
      </c>
      <c r="K204" s="13">
        <f t="shared" si="10"/>
        <v>20581</v>
      </c>
      <c r="L204" s="13">
        <v>0</v>
      </c>
      <c r="M204" s="13">
        <f t="shared" si="11"/>
        <v>20581</v>
      </c>
      <c r="N204" s="14" t="s">
        <v>44</v>
      </c>
    </row>
    <row r="205" spans="1:14" ht="15.75" customHeight="1" x14ac:dyDescent="0.25">
      <c r="A205" s="458"/>
      <c r="B205" s="22" t="s">
        <v>67</v>
      </c>
      <c r="C205" s="37">
        <v>29.02</v>
      </c>
      <c r="D205" s="37">
        <v>9.7100000000000009</v>
      </c>
      <c r="E205" s="37">
        <f t="shared" si="8"/>
        <v>19.309999999999999</v>
      </c>
      <c r="F205" s="22" t="s">
        <v>38</v>
      </c>
      <c r="G205" s="22" t="s">
        <v>111</v>
      </c>
      <c r="H205" s="23">
        <v>500</v>
      </c>
      <c r="I205" s="23">
        <f t="shared" si="9"/>
        <v>9655</v>
      </c>
      <c r="J205" s="23">
        <v>0</v>
      </c>
      <c r="K205" s="23">
        <f t="shared" si="10"/>
        <v>9655</v>
      </c>
      <c r="L205" s="23">
        <v>0</v>
      </c>
      <c r="M205" s="23">
        <f t="shared" si="11"/>
        <v>9655</v>
      </c>
      <c r="N205" s="24" t="s">
        <v>44</v>
      </c>
    </row>
    <row r="206" spans="1:14" ht="15.75" customHeight="1" x14ac:dyDescent="0.25">
      <c r="A206" s="458"/>
      <c r="B206" s="22" t="s">
        <v>115</v>
      </c>
      <c r="C206" s="37">
        <v>29.37</v>
      </c>
      <c r="D206" s="37">
        <v>9.68</v>
      </c>
      <c r="E206" s="37">
        <f t="shared" si="8"/>
        <v>19.690000000000001</v>
      </c>
      <c r="F206" s="22" t="s">
        <v>35</v>
      </c>
      <c r="G206" s="22" t="s">
        <v>111</v>
      </c>
      <c r="H206" s="23">
        <v>1100</v>
      </c>
      <c r="I206" s="23">
        <f t="shared" si="9"/>
        <v>21659</v>
      </c>
      <c r="J206" s="23">
        <v>0</v>
      </c>
      <c r="K206" s="23">
        <f t="shared" si="10"/>
        <v>21659</v>
      </c>
      <c r="L206" s="23">
        <v>0</v>
      </c>
      <c r="M206" s="23">
        <f t="shared" si="11"/>
        <v>21659</v>
      </c>
      <c r="N206" s="24" t="s">
        <v>44</v>
      </c>
    </row>
    <row r="207" spans="1:14" ht="15.75" customHeight="1" x14ac:dyDescent="0.25">
      <c r="A207" s="458"/>
      <c r="B207" s="22" t="s">
        <v>58</v>
      </c>
      <c r="C207" s="37">
        <v>29.41</v>
      </c>
      <c r="D207" s="37">
        <v>9.81</v>
      </c>
      <c r="E207" s="37">
        <f t="shared" si="8"/>
        <v>19.600000000000001</v>
      </c>
      <c r="F207" s="22" t="s">
        <v>38</v>
      </c>
      <c r="G207" s="22" t="s">
        <v>111</v>
      </c>
      <c r="H207" s="23">
        <v>500</v>
      </c>
      <c r="I207" s="23">
        <f t="shared" si="9"/>
        <v>9800</v>
      </c>
      <c r="J207" s="23">
        <v>0</v>
      </c>
      <c r="K207" s="23">
        <f t="shared" si="10"/>
        <v>9800</v>
      </c>
      <c r="L207" s="23">
        <v>0</v>
      </c>
      <c r="M207" s="23">
        <f t="shared" si="11"/>
        <v>9800</v>
      </c>
      <c r="N207" s="24" t="s">
        <v>44</v>
      </c>
    </row>
    <row r="208" spans="1:14" ht="15.75" customHeight="1" x14ac:dyDescent="0.25">
      <c r="A208" s="458"/>
      <c r="B208" s="22" t="s">
        <v>42</v>
      </c>
      <c r="C208" s="37">
        <v>29.5</v>
      </c>
      <c r="D208" s="37">
        <v>9.69</v>
      </c>
      <c r="E208" s="37">
        <f t="shared" si="8"/>
        <v>19.810000000000002</v>
      </c>
      <c r="F208" s="22" t="s">
        <v>38</v>
      </c>
      <c r="G208" s="22" t="s">
        <v>111</v>
      </c>
      <c r="H208" s="23">
        <v>500</v>
      </c>
      <c r="I208" s="23">
        <f t="shared" si="9"/>
        <v>9905.0000000000018</v>
      </c>
      <c r="J208" s="23">
        <v>0</v>
      </c>
      <c r="K208" s="23">
        <f t="shared" si="10"/>
        <v>9905.0000000000018</v>
      </c>
      <c r="L208" s="23">
        <v>0</v>
      </c>
      <c r="M208" s="23">
        <f t="shared" si="11"/>
        <v>9905.0000000000018</v>
      </c>
      <c r="N208" s="24" t="s">
        <v>44</v>
      </c>
    </row>
    <row r="209" spans="1:14" ht="15.75" customHeight="1" x14ac:dyDescent="0.25">
      <c r="A209" s="458"/>
      <c r="B209" s="22" t="s">
        <v>22</v>
      </c>
      <c r="C209" s="37">
        <v>29.75</v>
      </c>
      <c r="D209" s="37">
        <v>9.83</v>
      </c>
      <c r="E209" s="37">
        <f t="shared" si="8"/>
        <v>19.920000000000002</v>
      </c>
      <c r="F209" s="22" t="s">
        <v>38</v>
      </c>
      <c r="G209" s="22" t="s">
        <v>111</v>
      </c>
      <c r="H209" s="23">
        <v>500</v>
      </c>
      <c r="I209" s="23">
        <f t="shared" si="9"/>
        <v>9960</v>
      </c>
      <c r="J209" s="23">
        <v>0</v>
      </c>
      <c r="K209" s="23">
        <f t="shared" si="10"/>
        <v>9960</v>
      </c>
      <c r="L209" s="23">
        <v>0</v>
      </c>
      <c r="M209" s="23">
        <f t="shared" si="11"/>
        <v>9960</v>
      </c>
      <c r="N209" s="24" t="s">
        <v>44</v>
      </c>
    </row>
    <row r="210" spans="1:14" ht="15.75" customHeight="1" x14ac:dyDescent="0.25">
      <c r="A210" s="458"/>
      <c r="B210" s="22" t="s">
        <v>49</v>
      </c>
      <c r="C210" s="37">
        <v>29.62</v>
      </c>
      <c r="D210" s="37">
        <v>9.56</v>
      </c>
      <c r="E210" s="37">
        <f t="shared" si="8"/>
        <v>20.060000000000002</v>
      </c>
      <c r="F210" s="22" t="s">
        <v>38</v>
      </c>
      <c r="G210" s="22" t="s">
        <v>111</v>
      </c>
      <c r="H210" s="23">
        <v>500</v>
      </c>
      <c r="I210" s="23">
        <f t="shared" si="9"/>
        <v>10030.000000000002</v>
      </c>
      <c r="J210" s="23">
        <v>0</v>
      </c>
      <c r="K210" s="23">
        <f t="shared" si="10"/>
        <v>10030.000000000002</v>
      </c>
      <c r="L210" s="23">
        <v>0</v>
      </c>
      <c r="M210" s="23">
        <f t="shared" si="11"/>
        <v>10030.000000000002</v>
      </c>
      <c r="N210" s="24" t="s">
        <v>44</v>
      </c>
    </row>
    <row r="211" spans="1:14" ht="15.75" customHeight="1" x14ac:dyDescent="0.25">
      <c r="A211" s="458"/>
      <c r="B211" s="22" t="s">
        <v>49</v>
      </c>
      <c r="C211" s="37">
        <v>28.11</v>
      </c>
      <c r="D211" s="37">
        <v>9.56</v>
      </c>
      <c r="E211" s="37">
        <f t="shared" si="8"/>
        <v>18.549999999999997</v>
      </c>
      <c r="F211" s="22" t="s">
        <v>35</v>
      </c>
      <c r="G211" s="22" t="s">
        <v>111</v>
      </c>
      <c r="H211" s="23">
        <v>1100</v>
      </c>
      <c r="I211" s="23">
        <f t="shared" si="9"/>
        <v>20404.999999999996</v>
      </c>
      <c r="J211" s="23">
        <v>0</v>
      </c>
      <c r="K211" s="23">
        <f t="shared" si="10"/>
        <v>20404.999999999996</v>
      </c>
      <c r="L211" s="23">
        <v>0</v>
      </c>
      <c r="M211" s="23">
        <f t="shared" si="11"/>
        <v>20404.999999999996</v>
      </c>
      <c r="N211" s="24" t="s">
        <v>44</v>
      </c>
    </row>
    <row r="212" spans="1:14" ht="15.75" customHeight="1" x14ac:dyDescent="0.25">
      <c r="A212" s="458"/>
      <c r="B212" s="22" t="s">
        <v>42</v>
      </c>
      <c r="C212" s="37">
        <v>29.07</v>
      </c>
      <c r="D212" s="37">
        <v>9.68</v>
      </c>
      <c r="E212" s="37">
        <f t="shared" si="8"/>
        <v>19.39</v>
      </c>
      <c r="F212" s="22" t="s">
        <v>35</v>
      </c>
      <c r="G212" s="22" t="s">
        <v>111</v>
      </c>
      <c r="H212" s="23">
        <v>1100</v>
      </c>
      <c r="I212" s="23">
        <f t="shared" si="9"/>
        <v>21329</v>
      </c>
      <c r="J212" s="23">
        <v>0</v>
      </c>
      <c r="K212" s="23">
        <f t="shared" si="10"/>
        <v>21329</v>
      </c>
      <c r="L212" s="23">
        <v>0</v>
      </c>
      <c r="M212" s="23">
        <f t="shared" si="11"/>
        <v>21329</v>
      </c>
      <c r="N212" s="24" t="s">
        <v>44</v>
      </c>
    </row>
    <row r="213" spans="1:14" ht="15.75" customHeight="1" x14ac:dyDescent="0.25">
      <c r="A213" s="458"/>
      <c r="B213" s="22" t="s">
        <v>49</v>
      </c>
      <c r="C213" s="37">
        <v>29</v>
      </c>
      <c r="D213" s="37">
        <v>9.5500000000000007</v>
      </c>
      <c r="E213" s="37">
        <f t="shared" si="8"/>
        <v>19.45</v>
      </c>
      <c r="F213" s="22" t="s">
        <v>35</v>
      </c>
      <c r="G213" s="22" t="s">
        <v>111</v>
      </c>
      <c r="H213" s="23">
        <v>1100</v>
      </c>
      <c r="I213" s="23">
        <f t="shared" si="9"/>
        <v>21395</v>
      </c>
      <c r="J213" s="23">
        <v>0</v>
      </c>
      <c r="K213" s="23">
        <f t="shared" si="10"/>
        <v>21395</v>
      </c>
      <c r="L213" s="23">
        <v>0</v>
      </c>
      <c r="M213" s="23">
        <f t="shared" si="11"/>
        <v>21395</v>
      </c>
      <c r="N213" s="24" t="s">
        <v>44</v>
      </c>
    </row>
    <row r="214" spans="1:14" ht="15.75" customHeight="1" x14ac:dyDescent="0.25">
      <c r="A214" s="458"/>
      <c r="B214" s="22" t="s">
        <v>51</v>
      </c>
      <c r="C214" s="37">
        <v>28.31</v>
      </c>
      <c r="D214" s="37">
        <v>9.82</v>
      </c>
      <c r="E214" s="37">
        <f t="shared" si="8"/>
        <v>18.489999999999998</v>
      </c>
      <c r="F214" s="22" t="s">
        <v>35</v>
      </c>
      <c r="G214" s="22" t="s">
        <v>111</v>
      </c>
      <c r="H214" s="23">
        <v>1100</v>
      </c>
      <c r="I214" s="23">
        <f t="shared" si="9"/>
        <v>20339</v>
      </c>
      <c r="J214" s="23">
        <v>0</v>
      </c>
      <c r="K214" s="23">
        <f t="shared" si="10"/>
        <v>20339</v>
      </c>
      <c r="L214" s="23">
        <v>0</v>
      </c>
      <c r="M214" s="23">
        <f t="shared" si="11"/>
        <v>20339</v>
      </c>
      <c r="N214" s="24" t="s">
        <v>44</v>
      </c>
    </row>
    <row r="215" spans="1:14" ht="15.75" customHeight="1" thickBot="1" x14ac:dyDescent="0.3">
      <c r="A215" s="459"/>
      <c r="B215" s="15" t="s">
        <v>42</v>
      </c>
      <c r="C215" s="52">
        <v>28.81</v>
      </c>
      <c r="D215" s="52">
        <v>9.64</v>
      </c>
      <c r="E215" s="52">
        <f t="shared" si="8"/>
        <v>19.169999999999998</v>
      </c>
      <c r="F215" s="15" t="s">
        <v>35</v>
      </c>
      <c r="G215" s="15" t="s">
        <v>111</v>
      </c>
      <c r="H215" s="16">
        <v>1100</v>
      </c>
      <c r="I215" s="16">
        <f t="shared" si="9"/>
        <v>21086.999999999996</v>
      </c>
      <c r="J215" s="16">
        <v>0</v>
      </c>
      <c r="K215" s="16">
        <f t="shared" si="10"/>
        <v>21086.999999999996</v>
      </c>
      <c r="L215" s="16">
        <v>0</v>
      </c>
      <c r="M215" s="16">
        <f t="shared" si="11"/>
        <v>21086.999999999996</v>
      </c>
      <c r="N215" s="17" t="s">
        <v>44</v>
      </c>
    </row>
    <row r="216" spans="1:14" ht="15.75" customHeight="1" x14ac:dyDescent="0.25">
      <c r="A216" s="457">
        <v>45794</v>
      </c>
      <c r="B216" s="12" t="s">
        <v>115</v>
      </c>
      <c r="C216" s="36">
        <v>29.24</v>
      </c>
      <c r="D216" s="36">
        <v>9.7200000000000006</v>
      </c>
      <c r="E216" s="36">
        <f t="shared" si="8"/>
        <v>19.519999999999996</v>
      </c>
      <c r="F216" s="12" t="s">
        <v>26</v>
      </c>
      <c r="G216" s="12" t="s">
        <v>95</v>
      </c>
      <c r="H216" s="13">
        <v>1225</v>
      </c>
      <c r="I216" s="13">
        <f t="shared" si="9"/>
        <v>23911.999999999996</v>
      </c>
      <c r="J216" s="13">
        <v>0</v>
      </c>
      <c r="K216" s="13">
        <f t="shared" si="10"/>
        <v>23911.999999999996</v>
      </c>
      <c r="L216" s="13">
        <v>0</v>
      </c>
      <c r="M216" s="13">
        <f t="shared" si="11"/>
        <v>23911.999999999996</v>
      </c>
      <c r="N216" s="14" t="s">
        <v>44</v>
      </c>
    </row>
    <row r="217" spans="1:14" ht="15.75" customHeight="1" x14ac:dyDescent="0.25">
      <c r="A217" s="458"/>
      <c r="B217" s="22" t="s">
        <v>67</v>
      </c>
      <c r="C217" s="37">
        <v>29.16</v>
      </c>
      <c r="D217" s="37">
        <v>9.68</v>
      </c>
      <c r="E217" s="37">
        <f t="shared" si="8"/>
        <v>19.48</v>
      </c>
      <c r="F217" s="22" t="s">
        <v>26</v>
      </c>
      <c r="G217" s="22" t="s">
        <v>95</v>
      </c>
      <c r="H217" s="23">
        <v>1225</v>
      </c>
      <c r="I217" s="23">
        <f t="shared" si="9"/>
        <v>23863</v>
      </c>
      <c r="J217" s="23">
        <v>0</v>
      </c>
      <c r="K217" s="23">
        <f t="shared" si="10"/>
        <v>23863</v>
      </c>
      <c r="L217" s="23">
        <v>0</v>
      </c>
      <c r="M217" s="23">
        <f t="shared" si="11"/>
        <v>23863</v>
      </c>
      <c r="N217" s="24" t="s">
        <v>44</v>
      </c>
    </row>
    <row r="218" spans="1:14" ht="15.75" customHeight="1" x14ac:dyDescent="0.25">
      <c r="A218" s="458"/>
      <c r="B218" s="22" t="s">
        <v>42</v>
      </c>
      <c r="C218" s="37">
        <v>28.99</v>
      </c>
      <c r="D218" s="37">
        <v>9.67</v>
      </c>
      <c r="E218" s="37">
        <f t="shared" si="8"/>
        <v>19.32</v>
      </c>
      <c r="F218" s="22" t="s">
        <v>35</v>
      </c>
      <c r="G218" s="22" t="s">
        <v>111</v>
      </c>
      <c r="H218" s="23">
        <v>1100</v>
      </c>
      <c r="I218" s="23">
        <f t="shared" si="9"/>
        <v>21252</v>
      </c>
      <c r="J218" s="23">
        <v>0</v>
      </c>
      <c r="K218" s="23">
        <f t="shared" si="10"/>
        <v>21252</v>
      </c>
      <c r="L218" s="23">
        <v>0</v>
      </c>
      <c r="M218" s="23">
        <f t="shared" si="11"/>
        <v>21252</v>
      </c>
      <c r="N218" s="24" t="s">
        <v>44</v>
      </c>
    </row>
    <row r="219" spans="1:14" ht="15.75" customHeight="1" x14ac:dyDescent="0.25">
      <c r="A219" s="458"/>
      <c r="B219" s="22" t="s">
        <v>30</v>
      </c>
      <c r="C219" s="37">
        <v>28.5</v>
      </c>
      <c r="D219" s="37">
        <v>9.7200000000000006</v>
      </c>
      <c r="E219" s="37">
        <f t="shared" si="8"/>
        <v>18.78</v>
      </c>
      <c r="F219" s="22" t="s">
        <v>26</v>
      </c>
      <c r="G219" s="22" t="s">
        <v>95</v>
      </c>
      <c r="H219" s="23">
        <v>1225</v>
      </c>
      <c r="I219" s="23">
        <f t="shared" si="9"/>
        <v>23005.5</v>
      </c>
      <c r="J219" s="23">
        <v>0</v>
      </c>
      <c r="K219" s="23">
        <f t="shared" si="10"/>
        <v>23005.5</v>
      </c>
      <c r="L219" s="23">
        <v>0</v>
      </c>
      <c r="M219" s="23">
        <f t="shared" si="11"/>
        <v>23005.5</v>
      </c>
      <c r="N219" s="24" t="s">
        <v>44</v>
      </c>
    </row>
    <row r="220" spans="1:14" ht="15.75" customHeight="1" x14ac:dyDescent="0.25">
      <c r="A220" s="458"/>
      <c r="B220" s="22" t="s">
        <v>58</v>
      </c>
      <c r="C220" s="37">
        <v>28.65</v>
      </c>
      <c r="D220" s="37">
        <v>9.7899999999999991</v>
      </c>
      <c r="E220" s="37">
        <f t="shared" si="8"/>
        <v>18.86</v>
      </c>
      <c r="F220" s="22" t="s">
        <v>26</v>
      </c>
      <c r="G220" s="22" t="s">
        <v>95</v>
      </c>
      <c r="H220" s="23">
        <v>1225</v>
      </c>
      <c r="I220" s="23">
        <f t="shared" si="9"/>
        <v>23103.5</v>
      </c>
      <c r="J220" s="23">
        <v>0</v>
      </c>
      <c r="K220" s="23">
        <f t="shared" si="10"/>
        <v>23103.5</v>
      </c>
      <c r="L220" s="23">
        <v>0</v>
      </c>
      <c r="M220" s="23">
        <f t="shared" si="11"/>
        <v>23103.5</v>
      </c>
      <c r="N220" s="24" t="s">
        <v>44</v>
      </c>
    </row>
    <row r="221" spans="1:14" ht="15.75" customHeight="1" x14ac:dyDescent="0.25">
      <c r="A221" s="458"/>
      <c r="B221" s="22" t="s">
        <v>22</v>
      </c>
      <c r="C221" s="37">
        <v>28.07</v>
      </c>
      <c r="D221" s="37">
        <v>9.82</v>
      </c>
      <c r="E221" s="37">
        <f t="shared" si="8"/>
        <v>18.25</v>
      </c>
      <c r="F221" s="22" t="s">
        <v>26</v>
      </c>
      <c r="G221" s="22" t="s">
        <v>95</v>
      </c>
      <c r="H221" s="23">
        <v>1225</v>
      </c>
      <c r="I221" s="23">
        <f t="shared" si="9"/>
        <v>22356.25</v>
      </c>
      <c r="J221" s="23">
        <v>0</v>
      </c>
      <c r="K221" s="23">
        <f t="shared" si="10"/>
        <v>22356.25</v>
      </c>
      <c r="L221" s="23">
        <v>0</v>
      </c>
      <c r="M221" s="23">
        <f t="shared" si="11"/>
        <v>22356.25</v>
      </c>
      <c r="N221" s="24" t="s">
        <v>44</v>
      </c>
    </row>
    <row r="222" spans="1:14" ht="15.75" customHeight="1" x14ac:dyDescent="0.25">
      <c r="A222" s="458"/>
      <c r="B222" s="22" t="s">
        <v>51</v>
      </c>
      <c r="C222" s="37">
        <v>29.91</v>
      </c>
      <c r="D222" s="37">
        <v>9.7799999999999994</v>
      </c>
      <c r="E222" s="37">
        <f t="shared" si="8"/>
        <v>20.130000000000003</v>
      </c>
      <c r="F222" s="22" t="s">
        <v>35</v>
      </c>
      <c r="G222" s="22" t="s">
        <v>111</v>
      </c>
      <c r="H222" s="23">
        <v>1100</v>
      </c>
      <c r="I222" s="23">
        <f t="shared" si="9"/>
        <v>22143.000000000004</v>
      </c>
      <c r="J222" s="23">
        <v>0</v>
      </c>
      <c r="K222" s="23">
        <f t="shared" si="10"/>
        <v>22143.000000000004</v>
      </c>
      <c r="L222" s="23">
        <v>0</v>
      </c>
      <c r="M222" s="23">
        <f t="shared" si="11"/>
        <v>22143.000000000004</v>
      </c>
      <c r="N222" s="24" t="s">
        <v>44</v>
      </c>
    </row>
    <row r="223" spans="1:14" ht="15.75" customHeight="1" x14ac:dyDescent="0.25">
      <c r="A223" s="458"/>
      <c r="B223" s="22" t="s">
        <v>49</v>
      </c>
      <c r="C223" s="37">
        <v>29.61</v>
      </c>
      <c r="D223" s="37">
        <v>9.5399999999999991</v>
      </c>
      <c r="E223" s="37">
        <f t="shared" si="8"/>
        <v>20.07</v>
      </c>
      <c r="F223" s="22" t="s">
        <v>35</v>
      </c>
      <c r="G223" s="22" t="s">
        <v>111</v>
      </c>
      <c r="H223" s="23">
        <v>1100</v>
      </c>
      <c r="I223" s="23">
        <f t="shared" si="9"/>
        <v>22077</v>
      </c>
      <c r="J223" s="23">
        <v>0</v>
      </c>
      <c r="K223" s="23">
        <f t="shared" si="10"/>
        <v>22077</v>
      </c>
      <c r="L223" s="23">
        <v>0</v>
      </c>
      <c r="M223" s="23">
        <f t="shared" si="11"/>
        <v>22077</v>
      </c>
      <c r="N223" s="24" t="s">
        <v>44</v>
      </c>
    </row>
    <row r="224" spans="1:14" ht="15.75" customHeight="1" x14ac:dyDescent="0.25">
      <c r="A224" s="458"/>
      <c r="B224" s="22" t="s">
        <v>42</v>
      </c>
      <c r="C224" s="37">
        <v>29.78</v>
      </c>
      <c r="D224" s="37">
        <v>9.68</v>
      </c>
      <c r="E224" s="37">
        <f t="shared" si="8"/>
        <v>20.100000000000001</v>
      </c>
      <c r="F224" s="22" t="s">
        <v>35</v>
      </c>
      <c r="G224" s="22" t="s">
        <v>111</v>
      </c>
      <c r="H224" s="23">
        <v>1100</v>
      </c>
      <c r="I224" s="23">
        <f t="shared" si="9"/>
        <v>22110</v>
      </c>
      <c r="J224" s="23">
        <v>0</v>
      </c>
      <c r="K224" s="23">
        <f t="shared" si="10"/>
        <v>22110</v>
      </c>
      <c r="L224" s="23">
        <v>0</v>
      </c>
      <c r="M224" s="23">
        <f t="shared" si="11"/>
        <v>22110</v>
      </c>
      <c r="N224" s="24" t="s">
        <v>44</v>
      </c>
    </row>
    <row r="225" spans="1:14" ht="15.75" customHeight="1" x14ac:dyDescent="0.25">
      <c r="A225" s="458"/>
      <c r="B225" s="22" t="s">
        <v>51</v>
      </c>
      <c r="C225" s="37">
        <v>28.65</v>
      </c>
      <c r="D225" s="37">
        <v>9.8000000000000007</v>
      </c>
      <c r="E225" s="37">
        <f t="shared" si="8"/>
        <v>18.849999999999998</v>
      </c>
      <c r="F225" s="22" t="s">
        <v>38</v>
      </c>
      <c r="G225" s="22" t="s">
        <v>111</v>
      </c>
      <c r="H225" s="23">
        <v>500</v>
      </c>
      <c r="I225" s="23">
        <f t="shared" si="9"/>
        <v>9424.9999999999982</v>
      </c>
      <c r="J225" s="23">
        <v>0</v>
      </c>
      <c r="K225" s="23">
        <f t="shared" si="10"/>
        <v>9424.9999999999982</v>
      </c>
      <c r="L225" s="23">
        <v>0</v>
      </c>
      <c r="M225" s="23">
        <f t="shared" si="11"/>
        <v>9424.9999999999982</v>
      </c>
      <c r="N225" s="24" t="s">
        <v>44</v>
      </c>
    </row>
    <row r="226" spans="1:14" ht="15.75" customHeight="1" x14ac:dyDescent="0.25">
      <c r="A226" s="458"/>
      <c r="B226" s="22" t="s">
        <v>125</v>
      </c>
      <c r="C226" s="37">
        <v>7.02</v>
      </c>
      <c r="D226" s="37">
        <v>3.16</v>
      </c>
      <c r="E226" s="37">
        <f t="shared" si="8"/>
        <v>3.8599999999999994</v>
      </c>
      <c r="F226" s="22" t="s">
        <v>23</v>
      </c>
      <c r="G226" s="22" t="s">
        <v>126</v>
      </c>
      <c r="H226" s="23">
        <v>1350</v>
      </c>
      <c r="I226" s="23">
        <f t="shared" si="9"/>
        <v>5210.9999999999991</v>
      </c>
      <c r="J226" s="23">
        <v>0</v>
      </c>
      <c r="K226" s="23">
        <f t="shared" si="10"/>
        <v>5210.9999999999991</v>
      </c>
      <c r="L226" s="23">
        <v>11</v>
      </c>
      <c r="M226" s="23">
        <f t="shared" si="11"/>
        <v>5199.9999999999991</v>
      </c>
      <c r="N226" s="24" t="s">
        <v>20</v>
      </c>
    </row>
    <row r="227" spans="1:14" ht="15.75" customHeight="1" x14ac:dyDescent="0.25">
      <c r="A227" s="458"/>
      <c r="B227" s="22" t="s">
        <v>42</v>
      </c>
      <c r="C227" s="37">
        <v>30.28</v>
      </c>
      <c r="D227" s="37">
        <v>9.65</v>
      </c>
      <c r="E227" s="37">
        <f t="shared" si="8"/>
        <v>20.630000000000003</v>
      </c>
      <c r="F227" s="22" t="s">
        <v>38</v>
      </c>
      <c r="G227" s="22" t="s">
        <v>111</v>
      </c>
      <c r="H227" s="23">
        <v>500</v>
      </c>
      <c r="I227" s="23">
        <f t="shared" si="9"/>
        <v>10315.000000000002</v>
      </c>
      <c r="J227" s="23">
        <v>0</v>
      </c>
      <c r="K227" s="23">
        <f t="shared" si="10"/>
        <v>10315.000000000002</v>
      </c>
      <c r="L227" s="23">
        <v>0</v>
      </c>
      <c r="M227" s="23">
        <f t="shared" si="11"/>
        <v>10315.000000000002</v>
      </c>
      <c r="N227" s="24" t="s">
        <v>44</v>
      </c>
    </row>
    <row r="228" spans="1:14" ht="15.75" customHeight="1" x14ac:dyDescent="0.25">
      <c r="A228" s="458"/>
      <c r="B228" s="22" t="s">
        <v>49</v>
      </c>
      <c r="C228" s="37">
        <v>31.54</v>
      </c>
      <c r="D228" s="37">
        <v>9.56</v>
      </c>
      <c r="E228" s="37">
        <f t="shared" si="8"/>
        <v>21.979999999999997</v>
      </c>
      <c r="F228" s="22" t="s">
        <v>38</v>
      </c>
      <c r="G228" s="22" t="s">
        <v>111</v>
      </c>
      <c r="H228" s="23">
        <v>500</v>
      </c>
      <c r="I228" s="23">
        <f t="shared" si="9"/>
        <v>10989.999999999998</v>
      </c>
      <c r="J228" s="23">
        <v>0</v>
      </c>
      <c r="K228" s="23">
        <f t="shared" si="10"/>
        <v>10989.999999999998</v>
      </c>
      <c r="L228" s="23">
        <v>0</v>
      </c>
      <c r="M228" s="23">
        <f t="shared" si="11"/>
        <v>10989.999999999998</v>
      </c>
      <c r="N228" s="24" t="s">
        <v>44</v>
      </c>
    </row>
    <row r="229" spans="1:14" ht="15.75" customHeight="1" x14ac:dyDescent="0.25">
      <c r="A229" s="458"/>
      <c r="B229" s="22" t="s">
        <v>51</v>
      </c>
      <c r="C229" s="37">
        <v>30.29</v>
      </c>
      <c r="D229" s="37">
        <v>9.8000000000000007</v>
      </c>
      <c r="E229" s="37">
        <f t="shared" si="8"/>
        <v>20.49</v>
      </c>
      <c r="F229" s="22" t="s">
        <v>38</v>
      </c>
      <c r="G229" s="22" t="s">
        <v>111</v>
      </c>
      <c r="H229" s="23">
        <v>500</v>
      </c>
      <c r="I229" s="23">
        <f t="shared" si="9"/>
        <v>10245</v>
      </c>
      <c r="J229" s="23">
        <v>0</v>
      </c>
      <c r="K229" s="23">
        <f t="shared" si="10"/>
        <v>10245</v>
      </c>
      <c r="L229" s="23">
        <v>0</v>
      </c>
      <c r="M229" s="23">
        <f t="shared" si="11"/>
        <v>10245</v>
      </c>
      <c r="N229" s="24" t="s">
        <v>44</v>
      </c>
    </row>
    <row r="230" spans="1:14" ht="15.75" customHeight="1" x14ac:dyDescent="0.25">
      <c r="A230" s="458"/>
      <c r="B230" s="22" t="s">
        <v>42</v>
      </c>
      <c r="C230" s="37">
        <v>30.88</v>
      </c>
      <c r="D230" s="37">
        <v>9.64</v>
      </c>
      <c r="E230" s="37">
        <f t="shared" si="8"/>
        <v>21.24</v>
      </c>
      <c r="F230" s="22" t="s">
        <v>38</v>
      </c>
      <c r="G230" s="22" t="s">
        <v>111</v>
      </c>
      <c r="H230" s="23">
        <v>500</v>
      </c>
      <c r="I230" s="23">
        <f t="shared" si="9"/>
        <v>10620</v>
      </c>
      <c r="J230" s="23">
        <v>0</v>
      </c>
      <c r="K230" s="23">
        <f t="shared" si="10"/>
        <v>10620</v>
      </c>
      <c r="L230" s="23">
        <v>0</v>
      </c>
      <c r="M230" s="23">
        <f t="shared" si="11"/>
        <v>10620</v>
      </c>
      <c r="N230" s="24" t="s">
        <v>44</v>
      </c>
    </row>
    <row r="231" spans="1:14" ht="15.75" customHeight="1" x14ac:dyDescent="0.25">
      <c r="A231" s="458"/>
      <c r="B231" s="22" t="s">
        <v>58</v>
      </c>
      <c r="C231" s="37">
        <v>29.24</v>
      </c>
      <c r="D231" s="37">
        <v>9.81</v>
      </c>
      <c r="E231" s="37">
        <f t="shared" si="8"/>
        <v>19.43</v>
      </c>
      <c r="F231" s="22" t="s">
        <v>35</v>
      </c>
      <c r="G231" s="22" t="s">
        <v>111</v>
      </c>
      <c r="H231" s="23">
        <v>1100</v>
      </c>
      <c r="I231" s="23">
        <f t="shared" si="9"/>
        <v>21373</v>
      </c>
      <c r="J231" s="23">
        <v>0</v>
      </c>
      <c r="K231" s="23">
        <f t="shared" si="10"/>
        <v>21373</v>
      </c>
      <c r="L231" s="23">
        <v>0</v>
      </c>
      <c r="M231" s="23">
        <f t="shared" si="11"/>
        <v>21373</v>
      </c>
      <c r="N231" s="24" t="s">
        <v>44</v>
      </c>
    </row>
    <row r="232" spans="1:14" ht="15.75" customHeight="1" x14ac:dyDescent="0.25">
      <c r="A232" s="458"/>
      <c r="B232" s="22" t="s">
        <v>127</v>
      </c>
      <c r="C232" s="37">
        <v>27.87</v>
      </c>
      <c r="D232" s="37">
        <v>9.74</v>
      </c>
      <c r="E232" s="37">
        <f t="shared" si="8"/>
        <v>18.130000000000003</v>
      </c>
      <c r="F232" s="22" t="s">
        <v>35</v>
      </c>
      <c r="G232" s="22" t="s">
        <v>111</v>
      </c>
      <c r="H232" s="23">
        <v>1100</v>
      </c>
      <c r="I232" s="23">
        <f t="shared" si="9"/>
        <v>19943.000000000004</v>
      </c>
      <c r="J232" s="23">
        <v>0</v>
      </c>
      <c r="K232" s="23">
        <f t="shared" si="10"/>
        <v>19943.000000000004</v>
      </c>
      <c r="L232" s="23">
        <v>0</v>
      </c>
      <c r="M232" s="23">
        <f t="shared" si="11"/>
        <v>19943.000000000004</v>
      </c>
      <c r="N232" s="24" t="s">
        <v>44</v>
      </c>
    </row>
    <row r="233" spans="1:14" ht="15.75" customHeight="1" x14ac:dyDescent="0.25">
      <c r="A233" s="458"/>
      <c r="B233" s="22" t="s">
        <v>115</v>
      </c>
      <c r="C233" s="37">
        <v>29.63</v>
      </c>
      <c r="D233" s="37">
        <v>9.6999999999999993</v>
      </c>
      <c r="E233" s="37">
        <f t="shared" si="8"/>
        <v>19.93</v>
      </c>
      <c r="F233" s="22" t="s">
        <v>35</v>
      </c>
      <c r="G233" s="22" t="s">
        <v>111</v>
      </c>
      <c r="H233" s="23">
        <v>1100</v>
      </c>
      <c r="I233" s="23">
        <f t="shared" si="9"/>
        <v>21923</v>
      </c>
      <c r="J233" s="23">
        <v>0</v>
      </c>
      <c r="K233" s="23">
        <f t="shared" si="10"/>
        <v>21923</v>
      </c>
      <c r="L233" s="23">
        <v>0</v>
      </c>
      <c r="M233" s="23">
        <f t="shared" si="11"/>
        <v>21923</v>
      </c>
      <c r="N233" s="24" t="s">
        <v>44</v>
      </c>
    </row>
    <row r="234" spans="1:14" ht="15.75" customHeight="1" x14ac:dyDescent="0.25">
      <c r="A234" s="458"/>
      <c r="B234" s="22" t="s">
        <v>51</v>
      </c>
      <c r="C234" s="37">
        <v>27.91</v>
      </c>
      <c r="D234" s="37">
        <v>9.82</v>
      </c>
      <c r="E234" s="37">
        <f t="shared" si="8"/>
        <v>18.09</v>
      </c>
      <c r="F234" s="22" t="s">
        <v>38</v>
      </c>
      <c r="G234" s="22" t="s">
        <v>111</v>
      </c>
      <c r="H234" s="23">
        <v>500</v>
      </c>
      <c r="I234" s="23">
        <f t="shared" si="9"/>
        <v>9045</v>
      </c>
      <c r="J234" s="23">
        <v>0</v>
      </c>
      <c r="K234" s="23">
        <f t="shared" si="10"/>
        <v>9045</v>
      </c>
      <c r="L234" s="23">
        <v>0</v>
      </c>
      <c r="M234" s="23">
        <f t="shared" si="11"/>
        <v>9045</v>
      </c>
      <c r="N234" s="24" t="s">
        <v>44</v>
      </c>
    </row>
    <row r="235" spans="1:14" ht="15.75" customHeight="1" thickBot="1" x14ac:dyDescent="0.3">
      <c r="A235" s="459"/>
      <c r="B235" s="15" t="s">
        <v>22</v>
      </c>
      <c r="C235" s="52">
        <v>28.98</v>
      </c>
      <c r="D235" s="52">
        <v>9.83</v>
      </c>
      <c r="E235" s="52">
        <f t="shared" si="8"/>
        <v>19.149999999999999</v>
      </c>
      <c r="F235" s="15" t="s">
        <v>35</v>
      </c>
      <c r="G235" s="15" t="s">
        <v>111</v>
      </c>
      <c r="H235" s="16">
        <v>1100</v>
      </c>
      <c r="I235" s="16">
        <f t="shared" si="9"/>
        <v>21065</v>
      </c>
      <c r="J235" s="16">
        <v>0</v>
      </c>
      <c r="K235" s="16">
        <f t="shared" si="10"/>
        <v>21065</v>
      </c>
      <c r="L235" s="16">
        <v>0</v>
      </c>
      <c r="M235" s="16">
        <f t="shared" si="11"/>
        <v>21065</v>
      </c>
      <c r="N235" s="17" t="s">
        <v>44</v>
      </c>
    </row>
    <row r="236" spans="1:14" ht="15.75" customHeight="1" x14ac:dyDescent="0.25">
      <c r="A236" s="457">
        <v>45795</v>
      </c>
      <c r="B236" s="12" t="s">
        <v>67</v>
      </c>
      <c r="C236" s="36">
        <v>28.75</v>
      </c>
      <c r="D236" s="36">
        <v>9.67</v>
      </c>
      <c r="E236" s="36">
        <f t="shared" si="8"/>
        <v>19.079999999999998</v>
      </c>
      <c r="F236" s="12" t="s">
        <v>35</v>
      </c>
      <c r="G236" s="12" t="s">
        <v>111</v>
      </c>
      <c r="H236" s="13">
        <v>1100</v>
      </c>
      <c r="I236" s="13">
        <f t="shared" si="9"/>
        <v>20987.999999999996</v>
      </c>
      <c r="J236" s="13">
        <v>0</v>
      </c>
      <c r="K236" s="13">
        <f t="shared" si="10"/>
        <v>20987.999999999996</v>
      </c>
      <c r="L236" s="13">
        <v>0</v>
      </c>
      <c r="M236" s="13">
        <f t="shared" si="11"/>
        <v>20987.999999999996</v>
      </c>
      <c r="N236" s="14" t="s">
        <v>44</v>
      </c>
    </row>
    <row r="237" spans="1:14" ht="15.75" customHeight="1" x14ac:dyDescent="0.25">
      <c r="A237" s="458"/>
      <c r="B237" s="22" t="s">
        <v>30</v>
      </c>
      <c r="C237" s="37">
        <v>27.02</v>
      </c>
      <c r="D237" s="37">
        <v>9.74</v>
      </c>
      <c r="E237" s="37">
        <f t="shared" si="8"/>
        <v>17.28</v>
      </c>
      <c r="F237" s="22" t="s">
        <v>38</v>
      </c>
      <c r="G237" s="22" t="s">
        <v>111</v>
      </c>
      <c r="H237" s="23">
        <v>500</v>
      </c>
      <c r="I237" s="23">
        <f t="shared" si="9"/>
        <v>8640</v>
      </c>
      <c r="J237" s="23">
        <v>0</v>
      </c>
      <c r="K237" s="23">
        <f t="shared" si="10"/>
        <v>8640</v>
      </c>
      <c r="L237" s="23">
        <v>0</v>
      </c>
      <c r="M237" s="23">
        <f t="shared" si="11"/>
        <v>8640</v>
      </c>
      <c r="N237" s="24" t="s">
        <v>44</v>
      </c>
    </row>
    <row r="238" spans="1:14" ht="15.75" customHeight="1" x14ac:dyDescent="0.25">
      <c r="A238" s="458"/>
      <c r="B238" s="22" t="s">
        <v>58</v>
      </c>
      <c r="C238" s="37">
        <v>28.03</v>
      </c>
      <c r="D238" s="37">
        <v>9.7899999999999991</v>
      </c>
      <c r="E238" s="37">
        <f t="shared" si="8"/>
        <v>18.240000000000002</v>
      </c>
      <c r="F238" s="22" t="s">
        <v>38</v>
      </c>
      <c r="G238" s="22" t="s">
        <v>111</v>
      </c>
      <c r="H238" s="23">
        <v>500</v>
      </c>
      <c r="I238" s="23">
        <f t="shared" si="9"/>
        <v>9120.0000000000018</v>
      </c>
      <c r="J238" s="23">
        <v>0</v>
      </c>
      <c r="K238" s="23">
        <f t="shared" si="10"/>
        <v>9120.0000000000018</v>
      </c>
      <c r="L238" s="23">
        <v>0</v>
      </c>
      <c r="M238" s="23">
        <f t="shared" si="11"/>
        <v>9120.0000000000018</v>
      </c>
      <c r="N238" s="24" t="s">
        <v>44</v>
      </c>
    </row>
    <row r="239" spans="1:14" ht="15.75" customHeight="1" x14ac:dyDescent="0.25">
      <c r="A239" s="458"/>
      <c r="B239" s="22" t="s">
        <v>115</v>
      </c>
      <c r="C239" s="37">
        <v>29.2</v>
      </c>
      <c r="D239" s="37">
        <v>9.6999999999999993</v>
      </c>
      <c r="E239" s="37">
        <f t="shared" si="8"/>
        <v>19.5</v>
      </c>
      <c r="F239" s="22" t="s">
        <v>35</v>
      </c>
      <c r="G239" s="22" t="s">
        <v>111</v>
      </c>
      <c r="H239" s="23">
        <v>1100</v>
      </c>
      <c r="I239" s="23">
        <f t="shared" si="9"/>
        <v>21450</v>
      </c>
      <c r="J239" s="23">
        <v>0</v>
      </c>
      <c r="K239" s="23">
        <f t="shared" si="10"/>
        <v>21450</v>
      </c>
      <c r="L239" s="23">
        <v>0</v>
      </c>
      <c r="M239" s="23">
        <f t="shared" si="11"/>
        <v>21450</v>
      </c>
      <c r="N239" s="24" t="s">
        <v>44</v>
      </c>
    </row>
    <row r="240" spans="1:14" ht="15.75" customHeight="1" x14ac:dyDescent="0.25">
      <c r="A240" s="458"/>
      <c r="B240" s="22" t="s">
        <v>115</v>
      </c>
      <c r="C240" s="37">
        <v>28.71</v>
      </c>
      <c r="D240" s="37">
        <v>9.7799999999999994</v>
      </c>
      <c r="E240" s="37">
        <f t="shared" si="8"/>
        <v>18.93</v>
      </c>
      <c r="F240" s="22" t="s">
        <v>38</v>
      </c>
      <c r="G240" s="22" t="s">
        <v>111</v>
      </c>
      <c r="H240" s="23">
        <v>500</v>
      </c>
      <c r="I240" s="23">
        <f t="shared" si="9"/>
        <v>9465</v>
      </c>
      <c r="J240" s="23">
        <v>0</v>
      </c>
      <c r="K240" s="23">
        <f t="shared" si="10"/>
        <v>9465</v>
      </c>
      <c r="L240" s="23">
        <v>0</v>
      </c>
      <c r="M240" s="23">
        <f t="shared" si="11"/>
        <v>9465</v>
      </c>
      <c r="N240" s="24" t="s">
        <v>44</v>
      </c>
    </row>
    <row r="241" spans="1:14" ht="15.75" customHeight="1" x14ac:dyDescent="0.25">
      <c r="A241" s="458"/>
      <c r="B241" s="22" t="s">
        <v>22</v>
      </c>
      <c r="C241" s="37">
        <v>28.59</v>
      </c>
      <c r="D241" s="37">
        <v>9.82</v>
      </c>
      <c r="E241" s="37">
        <f t="shared" si="8"/>
        <v>18.77</v>
      </c>
      <c r="F241" s="22" t="s">
        <v>35</v>
      </c>
      <c r="G241" s="22" t="s">
        <v>111</v>
      </c>
      <c r="H241" s="23">
        <v>1100</v>
      </c>
      <c r="I241" s="23">
        <f t="shared" si="9"/>
        <v>20647</v>
      </c>
      <c r="J241" s="23">
        <v>0</v>
      </c>
      <c r="K241" s="23">
        <f t="shared" si="10"/>
        <v>20647</v>
      </c>
      <c r="L241" s="23">
        <v>0</v>
      </c>
      <c r="M241" s="23">
        <f t="shared" si="11"/>
        <v>20647</v>
      </c>
      <c r="N241" s="24" t="s">
        <v>44</v>
      </c>
    </row>
    <row r="242" spans="1:14" ht="15.75" customHeight="1" x14ac:dyDescent="0.25">
      <c r="A242" s="458"/>
      <c r="B242" s="22" t="s">
        <v>49</v>
      </c>
      <c r="C242" s="37">
        <v>19.39</v>
      </c>
      <c r="D242" s="37">
        <v>9.5299999999999994</v>
      </c>
      <c r="E242" s="37">
        <f t="shared" si="8"/>
        <v>9.8600000000000012</v>
      </c>
      <c r="F242" s="22" t="s">
        <v>35</v>
      </c>
      <c r="G242" s="22" t="s">
        <v>102</v>
      </c>
      <c r="H242" s="23">
        <v>1250</v>
      </c>
      <c r="I242" s="23">
        <f t="shared" si="9"/>
        <v>12325.000000000002</v>
      </c>
      <c r="J242" s="23">
        <v>2000</v>
      </c>
      <c r="K242" s="23">
        <f t="shared" si="10"/>
        <v>14325.000000000002</v>
      </c>
      <c r="L242" s="23">
        <v>0</v>
      </c>
      <c r="M242" s="23">
        <f t="shared" si="11"/>
        <v>14325.000000000002</v>
      </c>
      <c r="N242" s="24" t="s">
        <v>25</v>
      </c>
    </row>
    <row r="243" spans="1:14" ht="15.75" customHeight="1" x14ac:dyDescent="0.25">
      <c r="A243" s="458"/>
      <c r="B243" s="22" t="s">
        <v>49</v>
      </c>
      <c r="C243" s="37">
        <v>29.21</v>
      </c>
      <c r="D243" s="37">
        <v>9.52</v>
      </c>
      <c r="E243" s="37">
        <f t="shared" si="8"/>
        <v>19.690000000000001</v>
      </c>
      <c r="F243" s="22" t="s">
        <v>23</v>
      </c>
      <c r="G243" s="22" t="s">
        <v>128</v>
      </c>
      <c r="H243" s="23">
        <v>1350</v>
      </c>
      <c r="I243" s="23">
        <f t="shared" si="9"/>
        <v>26581.5</v>
      </c>
      <c r="J243" s="23">
        <v>2000</v>
      </c>
      <c r="K243" s="23">
        <f t="shared" si="10"/>
        <v>28581.5</v>
      </c>
      <c r="L243" s="23">
        <v>1</v>
      </c>
      <c r="M243" s="23">
        <f t="shared" si="11"/>
        <v>28580.5</v>
      </c>
      <c r="N243" s="24" t="s">
        <v>25</v>
      </c>
    </row>
    <row r="244" spans="1:14" ht="15.75" customHeight="1" x14ac:dyDescent="0.25">
      <c r="A244" s="458"/>
      <c r="B244" s="22" t="s">
        <v>67</v>
      </c>
      <c r="C244" s="37">
        <v>28.93</v>
      </c>
      <c r="D244" s="37">
        <v>9.66</v>
      </c>
      <c r="E244" s="37">
        <f t="shared" si="8"/>
        <v>19.27</v>
      </c>
      <c r="F244" s="22" t="s">
        <v>38</v>
      </c>
      <c r="G244" s="22" t="s">
        <v>111</v>
      </c>
      <c r="H244" s="23">
        <v>500</v>
      </c>
      <c r="I244" s="23">
        <f t="shared" si="9"/>
        <v>9635</v>
      </c>
      <c r="J244" s="23">
        <v>0</v>
      </c>
      <c r="K244" s="23">
        <f t="shared" si="10"/>
        <v>9635</v>
      </c>
      <c r="L244" s="23">
        <v>0</v>
      </c>
      <c r="M244" s="23">
        <f t="shared" si="11"/>
        <v>9635</v>
      </c>
      <c r="N244" s="24" t="s">
        <v>44</v>
      </c>
    </row>
    <row r="245" spans="1:14" ht="15.75" customHeight="1" x14ac:dyDescent="0.25">
      <c r="A245" s="458"/>
      <c r="B245" s="22" t="s">
        <v>67</v>
      </c>
      <c r="C245" s="37">
        <v>28.75</v>
      </c>
      <c r="D245" s="37">
        <v>9.69</v>
      </c>
      <c r="E245" s="37">
        <f t="shared" si="8"/>
        <v>19.060000000000002</v>
      </c>
      <c r="F245" s="22" t="s">
        <v>38</v>
      </c>
      <c r="G245" s="22" t="s">
        <v>111</v>
      </c>
      <c r="H245" s="23">
        <v>500</v>
      </c>
      <c r="I245" s="23">
        <f t="shared" si="9"/>
        <v>9530.0000000000018</v>
      </c>
      <c r="J245" s="23">
        <v>0</v>
      </c>
      <c r="K245" s="23">
        <f t="shared" si="10"/>
        <v>9530.0000000000018</v>
      </c>
      <c r="L245" s="23">
        <v>0</v>
      </c>
      <c r="M245" s="23">
        <f t="shared" si="11"/>
        <v>9530.0000000000018</v>
      </c>
      <c r="N245" s="24" t="s">
        <v>44</v>
      </c>
    </row>
    <row r="246" spans="1:14" ht="15.75" customHeight="1" x14ac:dyDescent="0.25">
      <c r="A246" s="458"/>
      <c r="B246" s="22" t="s">
        <v>88</v>
      </c>
      <c r="C246" s="37">
        <v>31.64</v>
      </c>
      <c r="D246" s="37">
        <v>10.79</v>
      </c>
      <c r="E246" s="37">
        <f t="shared" si="8"/>
        <v>20.85</v>
      </c>
      <c r="F246" s="22" t="s">
        <v>35</v>
      </c>
      <c r="G246" s="22" t="s">
        <v>89</v>
      </c>
      <c r="H246" s="23">
        <v>1125</v>
      </c>
      <c r="I246" s="23">
        <f t="shared" si="9"/>
        <v>23456.25</v>
      </c>
      <c r="J246" s="23">
        <v>0</v>
      </c>
      <c r="K246" s="23">
        <f t="shared" si="10"/>
        <v>23456.25</v>
      </c>
      <c r="L246" s="23">
        <v>0</v>
      </c>
      <c r="M246" s="23">
        <f t="shared" si="11"/>
        <v>23456.25</v>
      </c>
      <c r="N246" s="24" t="s">
        <v>44</v>
      </c>
    </row>
    <row r="247" spans="1:14" ht="15.75" customHeight="1" x14ac:dyDescent="0.25">
      <c r="A247" s="458"/>
      <c r="B247" s="22" t="s">
        <v>67</v>
      </c>
      <c r="C247" s="37">
        <v>28.33</v>
      </c>
      <c r="D247" s="37">
        <v>9.68</v>
      </c>
      <c r="E247" s="37">
        <f t="shared" si="8"/>
        <v>18.649999999999999</v>
      </c>
      <c r="F247" s="22" t="s">
        <v>35</v>
      </c>
      <c r="G247" s="22" t="s">
        <v>89</v>
      </c>
      <c r="H247" s="23">
        <v>1125</v>
      </c>
      <c r="I247" s="23">
        <f t="shared" si="9"/>
        <v>20981.25</v>
      </c>
      <c r="J247" s="23">
        <v>0</v>
      </c>
      <c r="K247" s="23">
        <f t="shared" si="10"/>
        <v>20981.25</v>
      </c>
      <c r="L247" s="23">
        <v>0</v>
      </c>
      <c r="M247" s="23">
        <f t="shared" si="11"/>
        <v>20981.25</v>
      </c>
      <c r="N247" s="24" t="s">
        <v>44</v>
      </c>
    </row>
    <row r="248" spans="1:14" ht="15.75" customHeight="1" thickBot="1" x14ac:dyDescent="0.3">
      <c r="A248" s="459"/>
      <c r="B248" s="15" t="s">
        <v>67</v>
      </c>
      <c r="C248" s="52">
        <v>28.37</v>
      </c>
      <c r="D248" s="52">
        <v>9.68</v>
      </c>
      <c r="E248" s="52">
        <f t="shared" si="8"/>
        <v>18.690000000000001</v>
      </c>
      <c r="F248" s="15" t="s">
        <v>35</v>
      </c>
      <c r="G248" s="15" t="s">
        <v>89</v>
      </c>
      <c r="H248" s="16">
        <v>1125</v>
      </c>
      <c r="I248" s="16">
        <f t="shared" si="9"/>
        <v>21026.25</v>
      </c>
      <c r="J248" s="16">
        <v>0</v>
      </c>
      <c r="K248" s="16">
        <f t="shared" si="10"/>
        <v>21026.25</v>
      </c>
      <c r="L248" s="16">
        <v>0</v>
      </c>
      <c r="M248" s="16">
        <f t="shared" si="11"/>
        <v>21026.25</v>
      </c>
      <c r="N248" s="17" t="s">
        <v>44</v>
      </c>
    </row>
    <row r="249" spans="1:14" ht="15.75" customHeight="1" x14ac:dyDescent="0.25">
      <c r="A249" s="457">
        <v>45796</v>
      </c>
      <c r="B249" s="12" t="s">
        <v>51</v>
      </c>
      <c r="C249" s="36">
        <v>28.69</v>
      </c>
      <c r="D249" s="36">
        <v>9.7799999999999994</v>
      </c>
      <c r="E249" s="36">
        <f t="shared" si="8"/>
        <v>18.910000000000004</v>
      </c>
      <c r="F249" s="12" t="s">
        <v>35</v>
      </c>
      <c r="G249" s="12" t="s">
        <v>111</v>
      </c>
      <c r="H249" s="13">
        <v>1100</v>
      </c>
      <c r="I249" s="13">
        <f t="shared" si="9"/>
        <v>20801.000000000004</v>
      </c>
      <c r="J249" s="13">
        <v>0</v>
      </c>
      <c r="K249" s="13">
        <f t="shared" si="10"/>
        <v>20801.000000000004</v>
      </c>
      <c r="L249" s="13">
        <v>0</v>
      </c>
      <c r="M249" s="13">
        <f t="shared" si="11"/>
        <v>20801.000000000004</v>
      </c>
      <c r="N249" s="14" t="s">
        <v>44</v>
      </c>
    </row>
    <row r="250" spans="1:14" ht="15.75" customHeight="1" x14ac:dyDescent="0.25">
      <c r="A250" s="458"/>
      <c r="B250" s="22" t="s">
        <v>30</v>
      </c>
      <c r="C250" s="37">
        <v>29.91</v>
      </c>
      <c r="D250" s="37">
        <v>9.67</v>
      </c>
      <c r="E250" s="37">
        <f t="shared" si="8"/>
        <v>20.240000000000002</v>
      </c>
      <c r="F250" s="22" t="s">
        <v>38</v>
      </c>
      <c r="G250" s="22" t="s">
        <v>111</v>
      </c>
      <c r="H250" s="23">
        <v>500</v>
      </c>
      <c r="I250" s="23">
        <f t="shared" si="9"/>
        <v>10120.000000000002</v>
      </c>
      <c r="J250" s="23">
        <v>0</v>
      </c>
      <c r="K250" s="23">
        <f t="shared" si="10"/>
        <v>10120.000000000002</v>
      </c>
      <c r="L250" s="23">
        <v>0</v>
      </c>
      <c r="M250" s="23">
        <f t="shared" si="11"/>
        <v>10120.000000000002</v>
      </c>
      <c r="N250" s="24" t="s">
        <v>44</v>
      </c>
    </row>
    <row r="251" spans="1:14" ht="15.75" customHeight="1" x14ac:dyDescent="0.25">
      <c r="A251" s="458"/>
      <c r="B251" s="22" t="s">
        <v>67</v>
      </c>
      <c r="C251" s="37">
        <v>29.24</v>
      </c>
      <c r="D251" s="37">
        <v>9.6999999999999993</v>
      </c>
      <c r="E251" s="37">
        <f t="shared" si="8"/>
        <v>19.54</v>
      </c>
      <c r="F251" s="22" t="s">
        <v>35</v>
      </c>
      <c r="G251" s="22" t="s">
        <v>111</v>
      </c>
      <c r="H251" s="23">
        <v>1100</v>
      </c>
      <c r="I251" s="23">
        <f t="shared" si="9"/>
        <v>21494</v>
      </c>
      <c r="J251" s="23">
        <v>0</v>
      </c>
      <c r="K251" s="23">
        <f t="shared" si="10"/>
        <v>21494</v>
      </c>
      <c r="L251" s="23">
        <v>0</v>
      </c>
      <c r="M251" s="23">
        <f t="shared" si="11"/>
        <v>21494</v>
      </c>
      <c r="N251" s="24" t="s">
        <v>44</v>
      </c>
    </row>
    <row r="252" spans="1:14" ht="15.75" customHeight="1" x14ac:dyDescent="0.25">
      <c r="A252" s="458"/>
      <c r="B252" s="22" t="s">
        <v>58</v>
      </c>
      <c r="C252" s="37">
        <v>30.66</v>
      </c>
      <c r="D252" s="37">
        <v>9.82</v>
      </c>
      <c r="E252" s="37">
        <f t="shared" si="8"/>
        <v>20.84</v>
      </c>
      <c r="F252" s="22" t="s">
        <v>38</v>
      </c>
      <c r="G252" s="22" t="s">
        <v>111</v>
      </c>
      <c r="H252" s="23">
        <v>500</v>
      </c>
      <c r="I252" s="23">
        <f t="shared" si="9"/>
        <v>10420</v>
      </c>
      <c r="J252" s="23">
        <v>0</v>
      </c>
      <c r="K252" s="23">
        <f t="shared" si="10"/>
        <v>10420</v>
      </c>
      <c r="L252" s="23">
        <v>0</v>
      </c>
      <c r="M252" s="23">
        <f t="shared" si="11"/>
        <v>10420</v>
      </c>
      <c r="N252" s="24" t="s">
        <v>44</v>
      </c>
    </row>
    <row r="253" spans="1:14" ht="15.75" customHeight="1" x14ac:dyDescent="0.25">
      <c r="A253" s="458"/>
      <c r="B253" s="22" t="s">
        <v>115</v>
      </c>
      <c r="C253" s="37">
        <v>29.37</v>
      </c>
      <c r="D253" s="37">
        <v>9.7200000000000006</v>
      </c>
      <c r="E253" s="37">
        <f t="shared" si="8"/>
        <v>19.649999999999999</v>
      </c>
      <c r="F253" s="22" t="s">
        <v>35</v>
      </c>
      <c r="G253" s="22" t="s">
        <v>111</v>
      </c>
      <c r="H253" s="23">
        <v>1100</v>
      </c>
      <c r="I253" s="23">
        <f t="shared" si="9"/>
        <v>21615</v>
      </c>
      <c r="J253" s="23">
        <v>0</v>
      </c>
      <c r="K253" s="23">
        <f t="shared" si="10"/>
        <v>21615</v>
      </c>
      <c r="L253" s="23">
        <v>0</v>
      </c>
      <c r="M253" s="23">
        <f t="shared" si="11"/>
        <v>21615</v>
      </c>
      <c r="N253" s="24" t="s">
        <v>44</v>
      </c>
    </row>
    <row r="254" spans="1:14" ht="15.75" customHeight="1" x14ac:dyDescent="0.25">
      <c r="A254" s="458"/>
      <c r="B254" s="22" t="s">
        <v>22</v>
      </c>
      <c r="C254" s="37">
        <v>30.82</v>
      </c>
      <c r="D254" s="37">
        <v>9.85</v>
      </c>
      <c r="E254" s="37">
        <f t="shared" si="8"/>
        <v>20.97</v>
      </c>
      <c r="F254" s="22" t="s">
        <v>38</v>
      </c>
      <c r="G254" s="22" t="s">
        <v>111</v>
      </c>
      <c r="H254" s="23">
        <v>500</v>
      </c>
      <c r="I254" s="23">
        <f t="shared" si="9"/>
        <v>10485</v>
      </c>
      <c r="J254" s="23">
        <v>0</v>
      </c>
      <c r="K254" s="23">
        <f t="shared" si="10"/>
        <v>10485</v>
      </c>
      <c r="L254" s="23">
        <v>0</v>
      </c>
      <c r="M254" s="23">
        <f t="shared" si="11"/>
        <v>10485</v>
      </c>
      <c r="N254" s="24" t="s">
        <v>44</v>
      </c>
    </row>
    <row r="255" spans="1:14" ht="15.75" customHeight="1" x14ac:dyDescent="0.25">
      <c r="A255" s="458"/>
      <c r="B255" s="22" t="s">
        <v>88</v>
      </c>
      <c r="C255" s="37">
        <v>28.71</v>
      </c>
      <c r="D255" s="37">
        <v>10.86</v>
      </c>
      <c r="E255" s="37">
        <f t="shared" si="8"/>
        <v>17.850000000000001</v>
      </c>
      <c r="F255" s="22" t="s">
        <v>35</v>
      </c>
      <c r="G255" s="22" t="s">
        <v>89</v>
      </c>
      <c r="H255" s="23">
        <v>1125</v>
      </c>
      <c r="I255" s="23">
        <f t="shared" si="9"/>
        <v>20081.25</v>
      </c>
      <c r="J255" s="23">
        <v>0</v>
      </c>
      <c r="K255" s="23">
        <f t="shared" si="10"/>
        <v>20081.25</v>
      </c>
      <c r="L255" s="23">
        <v>0</v>
      </c>
      <c r="M255" s="23">
        <f t="shared" si="11"/>
        <v>20081.25</v>
      </c>
      <c r="N255" s="24" t="s">
        <v>44</v>
      </c>
    </row>
    <row r="256" spans="1:14" ht="15.75" customHeight="1" x14ac:dyDescent="0.25">
      <c r="A256" s="458"/>
      <c r="B256" s="22" t="s">
        <v>42</v>
      </c>
      <c r="C256" s="37">
        <v>29.86</v>
      </c>
      <c r="D256" s="37">
        <v>9.66</v>
      </c>
      <c r="E256" s="37">
        <f t="shared" si="8"/>
        <v>20.2</v>
      </c>
      <c r="F256" s="22" t="s">
        <v>38</v>
      </c>
      <c r="G256" s="22" t="s">
        <v>111</v>
      </c>
      <c r="H256" s="23">
        <v>500</v>
      </c>
      <c r="I256" s="23">
        <f t="shared" si="9"/>
        <v>10100</v>
      </c>
      <c r="J256" s="23">
        <v>0</v>
      </c>
      <c r="K256" s="23">
        <f t="shared" si="10"/>
        <v>10100</v>
      </c>
      <c r="L256" s="23">
        <v>0</v>
      </c>
      <c r="M256" s="23">
        <f t="shared" si="11"/>
        <v>10100</v>
      </c>
      <c r="N256" s="24" t="s">
        <v>44</v>
      </c>
    </row>
    <row r="257" spans="1:14" ht="15.75" customHeight="1" x14ac:dyDescent="0.25">
      <c r="A257" s="458"/>
      <c r="B257" s="22" t="s">
        <v>49</v>
      </c>
      <c r="C257" s="37">
        <v>19.57</v>
      </c>
      <c r="D257" s="37">
        <v>9.5299999999999994</v>
      </c>
      <c r="E257" s="37">
        <f t="shared" si="8"/>
        <v>10.040000000000001</v>
      </c>
      <c r="F257" s="22" t="s">
        <v>35</v>
      </c>
      <c r="G257" s="22" t="s">
        <v>129</v>
      </c>
      <c r="H257" s="23">
        <v>1200</v>
      </c>
      <c r="I257" s="23">
        <f t="shared" si="9"/>
        <v>12048.000000000002</v>
      </c>
      <c r="J257" s="23">
        <v>500</v>
      </c>
      <c r="K257" s="23">
        <f t="shared" si="10"/>
        <v>12548.000000000002</v>
      </c>
      <c r="L257" s="23">
        <v>48</v>
      </c>
      <c r="M257" s="23">
        <f t="shared" si="11"/>
        <v>12500.000000000002</v>
      </c>
      <c r="N257" s="24" t="s">
        <v>20</v>
      </c>
    </row>
    <row r="258" spans="1:14" ht="15.75" customHeight="1" x14ac:dyDescent="0.25">
      <c r="A258" s="458"/>
      <c r="B258" s="22" t="s">
        <v>88</v>
      </c>
      <c r="C258" s="37">
        <v>31.3</v>
      </c>
      <c r="D258" s="37">
        <v>10.8</v>
      </c>
      <c r="E258" s="37">
        <f t="shared" si="8"/>
        <v>20.5</v>
      </c>
      <c r="F258" s="22" t="s">
        <v>35</v>
      </c>
      <c r="G258" s="22" t="s">
        <v>89</v>
      </c>
      <c r="H258" s="23">
        <v>1125</v>
      </c>
      <c r="I258" s="23">
        <f t="shared" si="9"/>
        <v>23062.5</v>
      </c>
      <c r="J258" s="23">
        <v>0</v>
      </c>
      <c r="K258" s="23">
        <f t="shared" si="10"/>
        <v>23062.5</v>
      </c>
      <c r="L258" s="23">
        <v>0</v>
      </c>
      <c r="M258" s="23">
        <f t="shared" si="11"/>
        <v>23062.5</v>
      </c>
      <c r="N258" s="24" t="s">
        <v>44</v>
      </c>
    </row>
    <row r="259" spans="1:14" ht="15.75" customHeight="1" x14ac:dyDescent="0.25">
      <c r="A259" s="458"/>
      <c r="B259" s="22" t="s">
        <v>22</v>
      </c>
      <c r="C259" s="37">
        <v>28.43</v>
      </c>
      <c r="D259" s="37">
        <v>9.85</v>
      </c>
      <c r="E259" s="37">
        <f t="shared" si="8"/>
        <v>18.579999999999998</v>
      </c>
      <c r="F259" s="22" t="s">
        <v>26</v>
      </c>
      <c r="G259" s="22" t="s">
        <v>80</v>
      </c>
      <c r="H259" s="23">
        <v>1365</v>
      </c>
      <c r="I259" s="23">
        <f t="shared" si="9"/>
        <v>25361.699999999997</v>
      </c>
      <c r="J259" s="23">
        <v>0</v>
      </c>
      <c r="K259" s="23">
        <f t="shared" si="10"/>
        <v>25361.699999999997</v>
      </c>
      <c r="L259" s="23">
        <v>0</v>
      </c>
      <c r="M259" s="23">
        <f t="shared" si="11"/>
        <v>25361.699999999997</v>
      </c>
      <c r="N259" s="24" t="s">
        <v>44</v>
      </c>
    </row>
    <row r="260" spans="1:14" ht="15.75" customHeight="1" x14ac:dyDescent="0.25">
      <c r="A260" s="458"/>
      <c r="B260" s="22" t="s">
        <v>58</v>
      </c>
      <c r="C260" s="37">
        <v>29.54</v>
      </c>
      <c r="D260" s="37">
        <v>9.82</v>
      </c>
      <c r="E260" s="37">
        <f t="shared" si="8"/>
        <v>19.72</v>
      </c>
      <c r="F260" s="22" t="s">
        <v>26</v>
      </c>
      <c r="G260" s="22" t="s">
        <v>80</v>
      </c>
      <c r="H260" s="23">
        <v>1365</v>
      </c>
      <c r="I260" s="23">
        <f t="shared" si="9"/>
        <v>26917.8</v>
      </c>
      <c r="J260" s="23">
        <v>0</v>
      </c>
      <c r="K260" s="23">
        <f t="shared" si="10"/>
        <v>26917.8</v>
      </c>
      <c r="L260" s="23">
        <v>0</v>
      </c>
      <c r="M260" s="23">
        <f t="shared" si="11"/>
        <v>26917.8</v>
      </c>
      <c r="N260" s="24" t="s">
        <v>44</v>
      </c>
    </row>
    <row r="261" spans="1:14" ht="15.75" customHeight="1" x14ac:dyDescent="0.25">
      <c r="A261" s="458"/>
      <c r="B261" s="22" t="s">
        <v>130</v>
      </c>
      <c r="C261" s="37">
        <v>8.24</v>
      </c>
      <c r="D261" s="37">
        <v>3.47</v>
      </c>
      <c r="E261" s="37">
        <f t="shared" si="8"/>
        <v>4.7699999999999996</v>
      </c>
      <c r="F261" s="22" t="s">
        <v>18</v>
      </c>
      <c r="G261" s="22" t="s">
        <v>131</v>
      </c>
      <c r="H261" s="23">
        <v>1200</v>
      </c>
      <c r="I261" s="23">
        <f t="shared" si="9"/>
        <v>5723.9999999999991</v>
      </c>
      <c r="J261" s="23">
        <v>0</v>
      </c>
      <c r="K261" s="23">
        <f t="shared" si="10"/>
        <v>5723.9999999999991</v>
      </c>
      <c r="L261" s="23">
        <v>24</v>
      </c>
      <c r="M261" s="23">
        <f t="shared" si="11"/>
        <v>5699.9999999999991</v>
      </c>
      <c r="N261" s="24" t="s">
        <v>20</v>
      </c>
    </row>
    <row r="262" spans="1:14" ht="15.75" customHeight="1" x14ac:dyDescent="0.25">
      <c r="A262" s="458"/>
      <c r="B262" s="22" t="s">
        <v>88</v>
      </c>
      <c r="C262" s="37">
        <v>29.57</v>
      </c>
      <c r="D262" s="37">
        <v>10.75</v>
      </c>
      <c r="E262" s="37">
        <f t="shared" si="8"/>
        <v>18.82</v>
      </c>
      <c r="F262" s="22" t="s">
        <v>35</v>
      </c>
      <c r="G262" s="22" t="s">
        <v>89</v>
      </c>
      <c r="H262" s="23">
        <v>1125</v>
      </c>
      <c r="I262" s="23">
        <f t="shared" si="9"/>
        <v>21172.5</v>
      </c>
      <c r="J262" s="23">
        <v>0</v>
      </c>
      <c r="K262" s="23">
        <f t="shared" si="10"/>
        <v>21172.5</v>
      </c>
      <c r="L262" s="23">
        <v>0</v>
      </c>
      <c r="M262" s="23">
        <f t="shared" si="11"/>
        <v>21172.5</v>
      </c>
      <c r="N262" s="24" t="s">
        <v>44</v>
      </c>
    </row>
    <row r="263" spans="1:14" ht="15.75" customHeight="1" x14ac:dyDescent="0.25">
      <c r="A263" s="458"/>
      <c r="B263" s="22" t="s">
        <v>88</v>
      </c>
      <c r="C263" s="37">
        <v>30.04</v>
      </c>
      <c r="D263" s="37">
        <v>10.76</v>
      </c>
      <c r="E263" s="37">
        <f t="shared" si="8"/>
        <v>19.28</v>
      </c>
      <c r="F263" s="22" t="s">
        <v>38</v>
      </c>
      <c r="G263" s="22" t="s">
        <v>94</v>
      </c>
      <c r="H263" s="23">
        <v>500</v>
      </c>
      <c r="I263" s="23">
        <f t="shared" si="9"/>
        <v>9640</v>
      </c>
      <c r="J263" s="23">
        <v>1000</v>
      </c>
      <c r="K263" s="23">
        <f t="shared" si="10"/>
        <v>10640</v>
      </c>
      <c r="L263" s="23">
        <v>0</v>
      </c>
      <c r="M263" s="23">
        <f t="shared" si="11"/>
        <v>10640</v>
      </c>
      <c r="N263" s="24" t="s">
        <v>25</v>
      </c>
    </row>
    <row r="264" spans="1:14" ht="15.75" customHeight="1" x14ac:dyDescent="0.25">
      <c r="A264" s="458"/>
      <c r="B264" s="22" t="s">
        <v>49</v>
      </c>
      <c r="C264" s="37">
        <v>28.55</v>
      </c>
      <c r="D264" s="37">
        <v>9.5299999999999994</v>
      </c>
      <c r="E264" s="37">
        <f t="shared" si="8"/>
        <v>19.020000000000003</v>
      </c>
      <c r="F264" s="22" t="s">
        <v>38</v>
      </c>
      <c r="G264" s="22" t="s">
        <v>111</v>
      </c>
      <c r="H264" s="23">
        <v>500</v>
      </c>
      <c r="I264" s="23">
        <f t="shared" si="9"/>
        <v>9510.0000000000018</v>
      </c>
      <c r="J264" s="23">
        <v>0</v>
      </c>
      <c r="K264" s="23">
        <f t="shared" si="10"/>
        <v>9510.0000000000018</v>
      </c>
      <c r="L264" s="23">
        <v>0</v>
      </c>
      <c r="M264" s="23">
        <f t="shared" si="11"/>
        <v>9510.0000000000018</v>
      </c>
      <c r="N264" s="24" t="s">
        <v>44</v>
      </c>
    </row>
    <row r="265" spans="1:14" ht="15.75" customHeight="1" x14ac:dyDescent="0.25">
      <c r="A265" s="458"/>
      <c r="B265" s="22" t="s">
        <v>42</v>
      </c>
      <c r="C265" s="37">
        <v>28.73</v>
      </c>
      <c r="D265" s="37">
        <v>9.6999999999999993</v>
      </c>
      <c r="E265" s="37">
        <f t="shared" si="8"/>
        <v>19.03</v>
      </c>
      <c r="F265" s="22" t="s">
        <v>38</v>
      </c>
      <c r="G265" s="22" t="s">
        <v>111</v>
      </c>
      <c r="H265" s="23">
        <v>500</v>
      </c>
      <c r="I265" s="23">
        <f t="shared" si="9"/>
        <v>9515</v>
      </c>
      <c r="J265" s="23">
        <v>0</v>
      </c>
      <c r="K265" s="23">
        <f t="shared" si="10"/>
        <v>9515</v>
      </c>
      <c r="L265" s="23">
        <v>0</v>
      </c>
      <c r="M265" s="23">
        <f t="shared" si="11"/>
        <v>9515</v>
      </c>
      <c r="N265" s="24" t="s">
        <v>44</v>
      </c>
    </row>
    <row r="266" spans="1:14" ht="15.75" customHeight="1" x14ac:dyDescent="0.25">
      <c r="A266" s="458"/>
      <c r="B266" s="22" t="s">
        <v>40</v>
      </c>
      <c r="C266" s="37">
        <v>7</v>
      </c>
      <c r="D266" s="37">
        <v>3.18</v>
      </c>
      <c r="E266" s="37">
        <f t="shared" si="8"/>
        <v>3.82</v>
      </c>
      <c r="F266" s="22" t="s">
        <v>23</v>
      </c>
      <c r="G266" s="22" t="s">
        <v>132</v>
      </c>
      <c r="H266" s="23">
        <v>1350</v>
      </c>
      <c r="I266" s="23">
        <f t="shared" si="9"/>
        <v>5157</v>
      </c>
      <c r="J266" s="23">
        <v>0</v>
      </c>
      <c r="K266" s="23">
        <f t="shared" si="10"/>
        <v>5157</v>
      </c>
      <c r="L266" s="23">
        <v>7</v>
      </c>
      <c r="M266" s="23">
        <f t="shared" si="11"/>
        <v>5150</v>
      </c>
      <c r="N266" s="24" t="s">
        <v>20</v>
      </c>
    </row>
    <row r="267" spans="1:14" ht="15.75" customHeight="1" x14ac:dyDescent="0.25">
      <c r="A267" s="458"/>
      <c r="B267" s="22" t="s">
        <v>42</v>
      </c>
      <c r="C267" s="37">
        <v>27.67</v>
      </c>
      <c r="D267" s="37">
        <v>9.69</v>
      </c>
      <c r="E267" s="37">
        <f t="shared" si="8"/>
        <v>17.980000000000004</v>
      </c>
      <c r="F267" s="22" t="s">
        <v>38</v>
      </c>
      <c r="G267" s="22" t="s">
        <v>111</v>
      </c>
      <c r="H267" s="23">
        <v>500</v>
      </c>
      <c r="I267" s="23">
        <f t="shared" si="9"/>
        <v>8990.0000000000018</v>
      </c>
      <c r="J267" s="23">
        <v>0</v>
      </c>
      <c r="K267" s="23">
        <f t="shared" si="10"/>
        <v>8990.0000000000018</v>
      </c>
      <c r="L267" s="23">
        <v>0</v>
      </c>
      <c r="M267" s="23">
        <f t="shared" si="11"/>
        <v>8990.0000000000018</v>
      </c>
      <c r="N267" s="24" t="s">
        <v>44</v>
      </c>
    </row>
    <row r="268" spans="1:14" ht="15.75" customHeight="1" x14ac:dyDescent="0.25">
      <c r="A268" s="458"/>
      <c r="B268" s="22" t="s">
        <v>133</v>
      </c>
      <c r="C268" s="37">
        <v>25.02</v>
      </c>
      <c r="D268" s="37">
        <v>15.21</v>
      </c>
      <c r="E268" s="37">
        <f t="shared" si="8"/>
        <v>9.8099999999999987</v>
      </c>
      <c r="F268" s="22" t="s">
        <v>23</v>
      </c>
      <c r="G268" s="22" t="s">
        <v>134</v>
      </c>
      <c r="H268" s="23">
        <v>1350</v>
      </c>
      <c r="I268" s="23">
        <f t="shared" si="9"/>
        <v>13243.499999999998</v>
      </c>
      <c r="J268" s="23">
        <v>0</v>
      </c>
      <c r="K268" s="23">
        <f t="shared" si="10"/>
        <v>13243.499999999998</v>
      </c>
      <c r="L268" s="23">
        <v>0</v>
      </c>
      <c r="M268" s="23">
        <f t="shared" si="11"/>
        <v>13243.499999999998</v>
      </c>
      <c r="N268" s="24" t="s">
        <v>44</v>
      </c>
    </row>
    <row r="269" spans="1:14" ht="15.75" customHeight="1" x14ac:dyDescent="0.25">
      <c r="A269" s="458"/>
      <c r="B269" s="22" t="s">
        <v>58</v>
      </c>
      <c r="C269" s="37">
        <v>30.49</v>
      </c>
      <c r="D269" s="37">
        <v>9.82</v>
      </c>
      <c r="E269" s="37">
        <f t="shared" si="8"/>
        <v>20.669999999999998</v>
      </c>
      <c r="F269" s="22" t="s">
        <v>38</v>
      </c>
      <c r="G269" s="22" t="s">
        <v>111</v>
      </c>
      <c r="H269" s="23">
        <v>500</v>
      </c>
      <c r="I269" s="23">
        <f t="shared" si="9"/>
        <v>10334.999999999998</v>
      </c>
      <c r="J269" s="23">
        <v>0</v>
      </c>
      <c r="K269" s="23">
        <f t="shared" si="10"/>
        <v>10334.999999999998</v>
      </c>
      <c r="L269" s="23">
        <v>0</v>
      </c>
      <c r="M269" s="23">
        <f t="shared" si="11"/>
        <v>10334.999999999998</v>
      </c>
      <c r="N269" s="24" t="s">
        <v>44</v>
      </c>
    </row>
    <row r="270" spans="1:14" ht="15.75" customHeight="1" x14ac:dyDescent="0.25">
      <c r="A270" s="458"/>
      <c r="B270" s="22" t="s">
        <v>22</v>
      </c>
      <c r="C270" s="37">
        <v>30.88</v>
      </c>
      <c r="D270" s="37">
        <v>9.85</v>
      </c>
      <c r="E270" s="37">
        <f t="shared" si="8"/>
        <v>21.03</v>
      </c>
      <c r="F270" s="22" t="s">
        <v>38</v>
      </c>
      <c r="G270" s="22" t="s">
        <v>111</v>
      </c>
      <c r="H270" s="23">
        <v>500</v>
      </c>
      <c r="I270" s="23">
        <f t="shared" si="9"/>
        <v>10515</v>
      </c>
      <c r="J270" s="23">
        <v>0</v>
      </c>
      <c r="K270" s="23">
        <f t="shared" si="10"/>
        <v>10515</v>
      </c>
      <c r="L270" s="23">
        <v>0</v>
      </c>
      <c r="M270" s="23">
        <f t="shared" si="11"/>
        <v>10515</v>
      </c>
      <c r="N270" s="24" t="s">
        <v>44</v>
      </c>
    </row>
    <row r="271" spans="1:14" ht="15.75" customHeight="1" thickBot="1" x14ac:dyDescent="0.3">
      <c r="A271" s="459"/>
      <c r="B271" s="15" t="s">
        <v>49</v>
      </c>
      <c r="C271" s="52">
        <v>28.94</v>
      </c>
      <c r="D271" s="52">
        <v>9.5399999999999991</v>
      </c>
      <c r="E271" s="52">
        <f t="shared" si="8"/>
        <v>19.400000000000002</v>
      </c>
      <c r="F271" s="15" t="s">
        <v>23</v>
      </c>
      <c r="G271" s="15" t="s">
        <v>135</v>
      </c>
      <c r="H271" s="16">
        <v>1350</v>
      </c>
      <c r="I271" s="16">
        <f t="shared" si="9"/>
        <v>26190.000000000004</v>
      </c>
      <c r="J271" s="16">
        <v>1000</v>
      </c>
      <c r="K271" s="16">
        <f t="shared" si="10"/>
        <v>27190.000000000004</v>
      </c>
      <c r="L271" s="16">
        <v>190</v>
      </c>
      <c r="M271" s="16">
        <f t="shared" si="11"/>
        <v>27000.000000000004</v>
      </c>
      <c r="N271" s="17" t="s">
        <v>20</v>
      </c>
    </row>
    <row r="272" spans="1:14" ht="15.75" customHeight="1" x14ac:dyDescent="0.25">
      <c r="A272" s="457">
        <v>45797</v>
      </c>
      <c r="B272" s="12" t="s">
        <v>51</v>
      </c>
      <c r="C272" s="36">
        <v>29.3</v>
      </c>
      <c r="D272" s="36">
        <v>9.81</v>
      </c>
      <c r="E272" s="36">
        <f t="shared" si="8"/>
        <v>19.490000000000002</v>
      </c>
      <c r="F272" s="12" t="s">
        <v>26</v>
      </c>
      <c r="G272" s="12" t="s">
        <v>80</v>
      </c>
      <c r="H272" s="13">
        <v>1365</v>
      </c>
      <c r="I272" s="13">
        <f t="shared" si="9"/>
        <v>26603.850000000002</v>
      </c>
      <c r="J272" s="13">
        <v>0</v>
      </c>
      <c r="K272" s="13">
        <f t="shared" si="10"/>
        <v>26603.850000000002</v>
      </c>
      <c r="L272" s="13">
        <v>0</v>
      </c>
      <c r="M272" s="13">
        <f t="shared" si="11"/>
        <v>26603.850000000002</v>
      </c>
      <c r="N272" s="14" t="s">
        <v>44</v>
      </c>
    </row>
    <row r="273" spans="1:14" ht="15.75" customHeight="1" x14ac:dyDescent="0.25">
      <c r="A273" s="458"/>
      <c r="B273" s="22" t="s">
        <v>58</v>
      </c>
      <c r="C273" s="37">
        <v>30.49</v>
      </c>
      <c r="D273" s="37">
        <v>9.81</v>
      </c>
      <c r="E273" s="37">
        <f t="shared" si="8"/>
        <v>20.68</v>
      </c>
      <c r="F273" s="22" t="s">
        <v>26</v>
      </c>
      <c r="G273" s="22" t="s">
        <v>80</v>
      </c>
      <c r="H273" s="23">
        <v>1365</v>
      </c>
      <c r="I273" s="23">
        <f t="shared" si="9"/>
        <v>28228.2</v>
      </c>
      <c r="J273" s="23">
        <v>0</v>
      </c>
      <c r="K273" s="23">
        <f t="shared" si="10"/>
        <v>28228.2</v>
      </c>
      <c r="L273" s="23">
        <v>0</v>
      </c>
      <c r="M273" s="23">
        <f t="shared" si="11"/>
        <v>28228.2</v>
      </c>
      <c r="N273" s="24" t="s">
        <v>44</v>
      </c>
    </row>
    <row r="274" spans="1:14" ht="15.75" customHeight="1" x14ac:dyDescent="0.25">
      <c r="A274" s="458"/>
      <c r="B274" s="22" t="s">
        <v>30</v>
      </c>
      <c r="C274" s="37">
        <v>29.14</v>
      </c>
      <c r="D274" s="37">
        <v>9.69</v>
      </c>
      <c r="E274" s="37">
        <f t="shared" si="8"/>
        <v>19.450000000000003</v>
      </c>
      <c r="F274" s="22" t="s">
        <v>26</v>
      </c>
      <c r="G274" s="22" t="s">
        <v>80</v>
      </c>
      <c r="H274" s="23">
        <v>1365</v>
      </c>
      <c r="I274" s="23">
        <f t="shared" si="9"/>
        <v>26549.250000000004</v>
      </c>
      <c r="J274" s="23">
        <v>0</v>
      </c>
      <c r="K274" s="23">
        <f t="shared" si="10"/>
        <v>26549.250000000004</v>
      </c>
      <c r="L274" s="23">
        <v>0</v>
      </c>
      <c r="M274" s="23">
        <f t="shared" si="11"/>
        <v>26549.250000000004</v>
      </c>
      <c r="N274" s="24" t="s">
        <v>44</v>
      </c>
    </row>
    <row r="275" spans="1:14" ht="15.75" customHeight="1" x14ac:dyDescent="0.25">
      <c r="A275" s="458"/>
      <c r="B275" s="22" t="s">
        <v>67</v>
      </c>
      <c r="C275" s="37">
        <v>29.56</v>
      </c>
      <c r="D275" s="37">
        <v>9.77</v>
      </c>
      <c r="E275" s="37">
        <f t="shared" si="8"/>
        <v>19.79</v>
      </c>
      <c r="F275" s="22" t="s">
        <v>26</v>
      </c>
      <c r="G275" s="22" t="s">
        <v>95</v>
      </c>
      <c r="H275" s="23">
        <v>1225</v>
      </c>
      <c r="I275" s="23">
        <f t="shared" si="9"/>
        <v>24242.75</v>
      </c>
      <c r="J275" s="23">
        <v>0</v>
      </c>
      <c r="K275" s="23">
        <f t="shared" si="10"/>
        <v>24242.75</v>
      </c>
      <c r="L275" s="23">
        <v>0</v>
      </c>
      <c r="M275" s="23">
        <f t="shared" si="11"/>
        <v>24242.75</v>
      </c>
      <c r="N275" s="24" t="s">
        <v>44</v>
      </c>
    </row>
    <row r="276" spans="1:14" ht="15.75" customHeight="1" x14ac:dyDescent="0.25">
      <c r="A276" s="458"/>
      <c r="B276" s="22" t="s">
        <v>115</v>
      </c>
      <c r="C276" s="37">
        <v>29.13</v>
      </c>
      <c r="D276" s="37">
        <v>9.75</v>
      </c>
      <c r="E276" s="37">
        <f t="shared" si="8"/>
        <v>19.38</v>
      </c>
      <c r="F276" s="22" t="s">
        <v>26</v>
      </c>
      <c r="G276" s="22" t="s">
        <v>95</v>
      </c>
      <c r="H276" s="23">
        <v>1225</v>
      </c>
      <c r="I276" s="23">
        <f t="shared" si="9"/>
        <v>23740.5</v>
      </c>
      <c r="J276" s="23">
        <v>0</v>
      </c>
      <c r="K276" s="23">
        <f t="shared" si="10"/>
        <v>23740.5</v>
      </c>
      <c r="L276" s="23">
        <v>0</v>
      </c>
      <c r="M276" s="23">
        <f t="shared" si="11"/>
        <v>23740.5</v>
      </c>
      <c r="N276" s="24" t="s">
        <v>44</v>
      </c>
    </row>
    <row r="277" spans="1:14" ht="15.75" customHeight="1" x14ac:dyDescent="0.25">
      <c r="A277" s="458"/>
      <c r="B277" s="22" t="s">
        <v>42</v>
      </c>
      <c r="C277" s="37">
        <v>28.95</v>
      </c>
      <c r="D277" s="37">
        <v>9.68</v>
      </c>
      <c r="E277" s="37">
        <f t="shared" si="8"/>
        <v>19.27</v>
      </c>
      <c r="F277" s="22" t="s">
        <v>38</v>
      </c>
      <c r="G277" s="22" t="s">
        <v>111</v>
      </c>
      <c r="H277" s="23">
        <v>500</v>
      </c>
      <c r="I277" s="23">
        <f t="shared" si="9"/>
        <v>9635</v>
      </c>
      <c r="J277" s="23">
        <v>0</v>
      </c>
      <c r="K277" s="23">
        <f t="shared" si="10"/>
        <v>9635</v>
      </c>
      <c r="L277" s="23">
        <v>0</v>
      </c>
      <c r="M277" s="23">
        <f t="shared" si="11"/>
        <v>9635</v>
      </c>
      <c r="N277" s="24" t="s">
        <v>44</v>
      </c>
    </row>
    <row r="278" spans="1:14" ht="15.75" customHeight="1" x14ac:dyDescent="0.25">
      <c r="A278" s="458"/>
      <c r="B278" s="22" t="s">
        <v>22</v>
      </c>
      <c r="C278" s="37">
        <v>30.4</v>
      </c>
      <c r="D278" s="37">
        <v>9.83</v>
      </c>
      <c r="E278" s="37">
        <f t="shared" si="8"/>
        <v>20.57</v>
      </c>
      <c r="F278" s="22" t="s">
        <v>26</v>
      </c>
      <c r="G278" s="22" t="s">
        <v>80</v>
      </c>
      <c r="H278" s="23">
        <v>1365</v>
      </c>
      <c r="I278" s="23">
        <f t="shared" si="9"/>
        <v>28078.05</v>
      </c>
      <c r="J278" s="23">
        <v>0</v>
      </c>
      <c r="K278" s="23">
        <f t="shared" si="10"/>
        <v>28078.05</v>
      </c>
      <c r="L278" s="23">
        <v>0</v>
      </c>
      <c r="M278" s="23">
        <f t="shared" si="11"/>
        <v>28078.05</v>
      </c>
      <c r="N278" s="24" t="s">
        <v>44</v>
      </c>
    </row>
    <row r="279" spans="1:14" ht="15.75" customHeight="1" x14ac:dyDescent="0.25">
      <c r="A279" s="458"/>
      <c r="B279" s="22" t="s">
        <v>49</v>
      </c>
      <c r="C279" s="37">
        <v>28.89</v>
      </c>
      <c r="D279" s="37">
        <v>9.5399999999999991</v>
      </c>
      <c r="E279" s="37">
        <f t="shared" si="8"/>
        <v>19.350000000000001</v>
      </c>
      <c r="F279" s="22" t="s">
        <v>38</v>
      </c>
      <c r="G279" s="22" t="s">
        <v>111</v>
      </c>
      <c r="H279" s="23">
        <v>500</v>
      </c>
      <c r="I279" s="23">
        <f t="shared" si="9"/>
        <v>9675</v>
      </c>
      <c r="J279" s="23">
        <v>0</v>
      </c>
      <c r="K279" s="23">
        <f t="shared" si="10"/>
        <v>9675</v>
      </c>
      <c r="L279" s="23">
        <v>0</v>
      </c>
      <c r="M279" s="23">
        <f t="shared" si="11"/>
        <v>9675</v>
      </c>
      <c r="N279" s="24" t="s">
        <v>44</v>
      </c>
    </row>
    <row r="280" spans="1:14" ht="15.75" customHeight="1" x14ac:dyDescent="0.25">
      <c r="A280" s="458"/>
      <c r="B280" s="22" t="s">
        <v>42</v>
      </c>
      <c r="C280" s="37">
        <v>28.11</v>
      </c>
      <c r="D280" s="37">
        <v>9.69</v>
      </c>
      <c r="E280" s="37">
        <f t="shared" si="8"/>
        <v>18.420000000000002</v>
      </c>
      <c r="F280" s="22" t="s">
        <v>38</v>
      </c>
      <c r="G280" s="22" t="s">
        <v>111</v>
      </c>
      <c r="H280" s="23">
        <v>500</v>
      </c>
      <c r="I280" s="23">
        <f t="shared" si="9"/>
        <v>9210</v>
      </c>
      <c r="J280" s="23">
        <v>0</v>
      </c>
      <c r="K280" s="23">
        <f t="shared" si="10"/>
        <v>9210</v>
      </c>
      <c r="L280" s="23">
        <v>0</v>
      </c>
      <c r="M280" s="23">
        <f t="shared" si="11"/>
        <v>9210</v>
      </c>
      <c r="N280" s="24" t="s">
        <v>44</v>
      </c>
    </row>
    <row r="281" spans="1:14" ht="15.75" customHeight="1" x14ac:dyDescent="0.25">
      <c r="A281" s="458"/>
      <c r="B281" s="22" t="s">
        <v>49</v>
      </c>
      <c r="C281" s="37">
        <v>19.32</v>
      </c>
      <c r="D281" s="37">
        <v>9.5500000000000007</v>
      </c>
      <c r="E281" s="37">
        <f t="shared" si="8"/>
        <v>9.77</v>
      </c>
      <c r="F281" s="22" t="s">
        <v>23</v>
      </c>
      <c r="G281" s="22" t="s">
        <v>136</v>
      </c>
      <c r="H281" s="23">
        <v>1350</v>
      </c>
      <c r="I281" s="23">
        <f t="shared" si="9"/>
        <v>13189.5</v>
      </c>
      <c r="J281" s="23">
        <v>1500</v>
      </c>
      <c r="K281" s="23">
        <f t="shared" si="10"/>
        <v>14689.5</v>
      </c>
      <c r="L281" s="23">
        <v>-0.5</v>
      </c>
      <c r="M281" s="23">
        <f t="shared" si="11"/>
        <v>14690</v>
      </c>
      <c r="N281" s="24" t="s">
        <v>20</v>
      </c>
    </row>
    <row r="282" spans="1:14" ht="15.75" customHeight="1" x14ac:dyDescent="0.25">
      <c r="A282" s="458"/>
      <c r="B282" s="22" t="s">
        <v>51</v>
      </c>
      <c r="C282" s="37">
        <v>29.71</v>
      </c>
      <c r="D282" s="37">
        <v>9.7899999999999991</v>
      </c>
      <c r="E282" s="37">
        <f t="shared" si="8"/>
        <v>19.920000000000002</v>
      </c>
      <c r="F282" s="22" t="s">
        <v>26</v>
      </c>
      <c r="G282" s="22" t="s">
        <v>80</v>
      </c>
      <c r="H282" s="23">
        <v>1365</v>
      </c>
      <c r="I282" s="23">
        <f t="shared" si="9"/>
        <v>27190.800000000003</v>
      </c>
      <c r="J282" s="23">
        <v>0</v>
      </c>
      <c r="K282" s="23">
        <f t="shared" si="10"/>
        <v>27190.800000000003</v>
      </c>
      <c r="L282" s="23">
        <v>0</v>
      </c>
      <c r="M282" s="23">
        <f t="shared" si="11"/>
        <v>27190.800000000003</v>
      </c>
      <c r="N282" s="24" t="s">
        <v>44</v>
      </c>
    </row>
    <row r="283" spans="1:14" ht="15.75" customHeight="1" x14ac:dyDescent="0.25">
      <c r="A283" s="458"/>
      <c r="B283" s="22" t="s">
        <v>30</v>
      </c>
      <c r="C283" s="37">
        <v>28.98</v>
      </c>
      <c r="D283" s="37">
        <v>9.68</v>
      </c>
      <c r="E283" s="37">
        <f t="shared" si="8"/>
        <v>19.3</v>
      </c>
      <c r="F283" s="22" t="s">
        <v>26</v>
      </c>
      <c r="G283" s="22" t="s">
        <v>80</v>
      </c>
      <c r="H283" s="23">
        <v>1365</v>
      </c>
      <c r="I283" s="23">
        <f t="shared" si="9"/>
        <v>26344.5</v>
      </c>
      <c r="J283" s="23">
        <v>0</v>
      </c>
      <c r="K283" s="23">
        <f t="shared" si="10"/>
        <v>26344.5</v>
      </c>
      <c r="L283" s="23">
        <v>0</v>
      </c>
      <c r="M283" s="23">
        <f t="shared" si="11"/>
        <v>26344.5</v>
      </c>
      <c r="N283" s="24" t="s">
        <v>44</v>
      </c>
    </row>
    <row r="284" spans="1:14" ht="15.75" customHeight="1" x14ac:dyDescent="0.25">
      <c r="A284" s="458"/>
      <c r="B284" s="22" t="s">
        <v>67</v>
      </c>
      <c r="C284" s="37">
        <v>31.11</v>
      </c>
      <c r="D284" s="37">
        <v>9.76</v>
      </c>
      <c r="E284" s="37">
        <f t="shared" si="8"/>
        <v>21.35</v>
      </c>
      <c r="F284" s="22" t="s">
        <v>26</v>
      </c>
      <c r="G284" s="22" t="s">
        <v>95</v>
      </c>
      <c r="H284" s="23">
        <v>1225</v>
      </c>
      <c r="I284" s="23">
        <f t="shared" si="9"/>
        <v>26153.75</v>
      </c>
      <c r="J284" s="23">
        <v>0</v>
      </c>
      <c r="K284" s="23">
        <f t="shared" si="10"/>
        <v>26153.75</v>
      </c>
      <c r="L284" s="23">
        <v>0</v>
      </c>
      <c r="M284" s="23">
        <f t="shared" si="11"/>
        <v>26153.75</v>
      </c>
      <c r="N284" s="24" t="s">
        <v>44</v>
      </c>
    </row>
    <row r="285" spans="1:14" ht="15.75" customHeight="1" x14ac:dyDescent="0.25">
      <c r="A285" s="458"/>
      <c r="B285" s="22" t="s">
        <v>115</v>
      </c>
      <c r="C285" s="37">
        <v>29.59</v>
      </c>
      <c r="D285" s="37">
        <v>9.74</v>
      </c>
      <c r="E285" s="37">
        <f t="shared" si="8"/>
        <v>19.850000000000001</v>
      </c>
      <c r="F285" s="22" t="s">
        <v>26</v>
      </c>
      <c r="G285" s="22" t="s">
        <v>95</v>
      </c>
      <c r="H285" s="23">
        <v>1225</v>
      </c>
      <c r="I285" s="23">
        <f t="shared" si="9"/>
        <v>24316.25</v>
      </c>
      <c r="J285" s="23">
        <v>0</v>
      </c>
      <c r="K285" s="23">
        <f t="shared" si="10"/>
        <v>24316.25</v>
      </c>
      <c r="L285" s="23">
        <v>0</v>
      </c>
      <c r="M285" s="23">
        <f t="shared" si="11"/>
        <v>24316.25</v>
      </c>
      <c r="N285" s="24" t="s">
        <v>44</v>
      </c>
    </row>
    <row r="286" spans="1:14" ht="15.75" customHeight="1" x14ac:dyDescent="0.25">
      <c r="A286" s="458"/>
      <c r="B286" s="22" t="s">
        <v>58</v>
      </c>
      <c r="C286" s="37">
        <v>30.12</v>
      </c>
      <c r="D286" s="37">
        <v>9.81</v>
      </c>
      <c r="E286" s="37">
        <f t="shared" si="8"/>
        <v>20.310000000000002</v>
      </c>
      <c r="F286" s="22" t="s">
        <v>26</v>
      </c>
      <c r="G286" s="22" t="s">
        <v>80</v>
      </c>
      <c r="H286" s="23">
        <v>1365</v>
      </c>
      <c r="I286" s="23">
        <f t="shared" si="9"/>
        <v>27723.15</v>
      </c>
      <c r="J286" s="23">
        <v>0</v>
      </c>
      <c r="K286" s="23">
        <f t="shared" si="10"/>
        <v>27723.15</v>
      </c>
      <c r="L286" s="23">
        <v>0</v>
      </c>
      <c r="M286" s="23">
        <f t="shared" si="11"/>
        <v>27723.15</v>
      </c>
      <c r="N286" s="24" t="s">
        <v>44</v>
      </c>
    </row>
    <row r="287" spans="1:14" ht="15.75" customHeight="1" x14ac:dyDescent="0.25">
      <c r="A287" s="458"/>
      <c r="B287" s="22" t="s">
        <v>42</v>
      </c>
      <c r="C287" s="37">
        <v>29.29</v>
      </c>
      <c r="D287" s="37">
        <v>10.1</v>
      </c>
      <c r="E287" s="37">
        <f t="shared" si="8"/>
        <v>19.189999999999998</v>
      </c>
      <c r="F287" s="22" t="s">
        <v>38</v>
      </c>
      <c r="G287" s="22" t="s">
        <v>111</v>
      </c>
      <c r="H287" s="23">
        <v>500</v>
      </c>
      <c r="I287" s="23">
        <f t="shared" si="9"/>
        <v>9594.9999999999982</v>
      </c>
      <c r="J287" s="23">
        <v>0</v>
      </c>
      <c r="K287" s="23">
        <f t="shared" si="10"/>
        <v>9594.9999999999982</v>
      </c>
      <c r="L287" s="23">
        <v>0</v>
      </c>
      <c r="M287" s="23">
        <f t="shared" si="11"/>
        <v>9594.9999999999982</v>
      </c>
      <c r="N287" s="24" t="s">
        <v>44</v>
      </c>
    </row>
    <row r="288" spans="1:14" ht="15.75" customHeight="1" thickBot="1" x14ac:dyDescent="0.3">
      <c r="A288" s="459"/>
      <c r="B288" s="15" t="s">
        <v>22</v>
      </c>
      <c r="C288" s="52">
        <v>25.73</v>
      </c>
      <c r="D288" s="52">
        <v>9.83</v>
      </c>
      <c r="E288" s="52">
        <f t="shared" si="8"/>
        <v>15.9</v>
      </c>
      <c r="F288" s="15" t="s">
        <v>26</v>
      </c>
      <c r="G288" s="15" t="s">
        <v>80</v>
      </c>
      <c r="H288" s="16">
        <v>1365</v>
      </c>
      <c r="I288" s="16">
        <f t="shared" si="9"/>
        <v>21703.5</v>
      </c>
      <c r="J288" s="16">
        <v>0</v>
      </c>
      <c r="K288" s="16">
        <f t="shared" si="10"/>
        <v>21703.5</v>
      </c>
      <c r="L288" s="16">
        <v>0</v>
      </c>
      <c r="M288" s="16">
        <f t="shared" si="11"/>
        <v>21703.5</v>
      </c>
      <c r="N288" s="17" t="s">
        <v>44</v>
      </c>
    </row>
    <row r="289" spans="1:14" ht="15.75" customHeight="1" x14ac:dyDescent="0.25">
      <c r="A289" s="457">
        <v>45798</v>
      </c>
      <c r="B289" s="12" t="s">
        <v>47</v>
      </c>
      <c r="C289" s="36">
        <v>29.64</v>
      </c>
      <c r="D289" s="36">
        <v>9.66</v>
      </c>
      <c r="E289" s="36">
        <f t="shared" si="8"/>
        <v>19.98</v>
      </c>
      <c r="F289" s="12" t="s">
        <v>26</v>
      </c>
      <c r="G289" s="12" t="s">
        <v>80</v>
      </c>
      <c r="H289" s="13">
        <v>1365</v>
      </c>
      <c r="I289" s="13">
        <f t="shared" si="9"/>
        <v>27272.7</v>
      </c>
      <c r="J289" s="13">
        <v>0</v>
      </c>
      <c r="K289" s="13">
        <f t="shared" si="10"/>
        <v>27272.7</v>
      </c>
      <c r="L289" s="13">
        <v>0</v>
      </c>
      <c r="M289" s="13">
        <f t="shared" si="11"/>
        <v>27272.7</v>
      </c>
      <c r="N289" s="14" t="s">
        <v>44</v>
      </c>
    </row>
    <row r="290" spans="1:14" ht="15.75" customHeight="1" thickBot="1" x14ac:dyDescent="0.3">
      <c r="A290" s="459"/>
      <c r="B290" s="15" t="s">
        <v>42</v>
      </c>
      <c r="C290" s="52">
        <v>17.46</v>
      </c>
      <c r="D290" s="52">
        <v>9.73</v>
      </c>
      <c r="E290" s="52">
        <f t="shared" si="8"/>
        <v>7.73</v>
      </c>
      <c r="F290" s="15" t="s">
        <v>38</v>
      </c>
      <c r="G290" s="15" t="s">
        <v>137</v>
      </c>
      <c r="H290" s="16">
        <v>500</v>
      </c>
      <c r="I290" s="16">
        <f t="shared" si="9"/>
        <v>3865</v>
      </c>
      <c r="J290" s="16">
        <v>0</v>
      </c>
      <c r="K290" s="16">
        <f t="shared" si="10"/>
        <v>3865</v>
      </c>
      <c r="L290" s="16">
        <v>0</v>
      </c>
      <c r="M290" s="16">
        <f t="shared" si="11"/>
        <v>3865</v>
      </c>
      <c r="N290" s="17" t="s">
        <v>44</v>
      </c>
    </row>
    <row r="291" spans="1:14" ht="15.75" customHeight="1" x14ac:dyDescent="0.25">
      <c r="A291" s="457">
        <v>45799</v>
      </c>
      <c r="B291" s="12" t="s">
        <v>22</v>
      </c>
      <c r="C291" s="36">
        <v>30.39</v>
      </c>
      <c r="D291" s="36">
        <v>9.84</v>
      </c>
      <c r="E291" s="36">
        <f t="shared" si="8"/>
        <v>20.55</v>
      </c>
      <c r="F291" s="12" t="s">
        <v>26</v>
      </c>
      <c r="G291" s="12" t="s">
        <v>80</v>
      </c>
      <c r="H291" s="13">
        <v>1365</v>
      </c>
      <c r="I291" s="13">
        <f t="shared" si="9"/>
        <v>28050.75</v>
      </c>
      <c r="J291" s="13">
        <v>0</v>
      </c>
      <c r="K291" s="13">
        <f t="shared" si="10"/>
        <v>28050.75</v>
      </c>
      <c r="L291" s="13">
        <v>0</v>
      </c>
      <c r="M291" s="13">
        <f t="shared" si="11"/>
        <v>28050.75</v>
      </c>
      <c r="N291" s="14" t="s">
        <v>44</v>
      </c>
    </row>
    <row r="292" spans="1:14" ht="15.75" customHeight="1" x14ac:dyDescent="0.25">
      <c r="A292" s="458"/>
      <c r="B292" s="22" t="s">
        <v>47</v>
      </c>
      <c r="C292" s="37">
        <v>27.46</v>
      </c>
      <c r="D292" s="37">
        <v>9.64</v>
      </c>
      <c r="E292" s="37">
        <f t="shared" si="8"/>
        <v>17.82</v>
      </c>
      <c r="F292" s="22" t="s">
        <v>26</v>
      </c>
      <c r="G292" s="22" t="s">
        <v>80</v>
      </c>
      <c r="H292" s="23">
        <v>1365</v>
      </c>
      <c r="I292" s="23">
        <f t="shared" si="9"/>
        <v>24324.3</v>
      </c>
      <c r="J292" s="23">
        <v>0</v>
      </c>
      <c r="K292" s="23">
        <f t="shared" si="10"/>
        <v>24324.3</v>
      </c>
      <c r="L292" s="23">
        <v>0</v>
      </c>
      <c r="M292" s="23">
        <f t="shared" si="11"/>
        <v>24324.3</v>
      </c>
      <c r="N292" s="24" t="s">
        <v>44</v>
      </c>
    </row>
    <row r="293" spans="1:14" ht="15.75" customHeight="1" x14ac:dyDescent="0.25">
      <c r="A293" s="458"/>
      <c r="B293" s="22" t="s">
        <v>138</v>
      </c>
      <c r="C293" s="37">
        <v>4.3600000000000003</v>
      </c>
      <c r="D293" s="37">
        <v>2.15</v>
      </c>
      <c r="E293" s="37">
        <f t="shared" si="8"/>
        <v>2.2100000000000004</v>
      </c>
      <c r="F293" s="22" t="s">
        <v>23</v>
      </c>
      <c r="G293" s="22" t="s">
        <v>139</v>
      </c>
      <c r="H293" s="23">
        <v>1350</v>
      </c>
      <c r="I293" s="23">
        <f t="shared" si="9"/>
        <v>2983.5000000000005</v>
      </c>
      <c r="J293" s="23">
        <v>0</v>
      </c>
      <c r="K293" s="23">
        <f t="shared" si="10"/>
        <v>2983.5000000000005</v>
      </c>
      <c r="L293" s="23">
        <v>3</v>
      </c>
      <c r="M293" s="23">
        <f t="shared" si="11"/>
        <v>2980.5000000000005</v>
      </c>
      <c r="N293" s="24" t="s">
        <v>20</v>
      </c>
    </row>
    <row r="294" spans="1:14" ht="15.75" customHeight="1" x14ac:dyDescent="0.25">
      <c r="A294" s="458"/>
      <c r="B294" s="22" t="s">
        <v>42</v>
      </c>
      <c r="C294" s="37">
        <v>26.5</v>
      </c>
      <c r="D294" s="37">
        <v>9.68</v>
      </c>
      <c r="E294" s="37">
        <f t="shared" si="8"/>
        <v>16.82</v>
      </c>
      <c r="F294" s="22" t="s">
        <v>23</v>
      </c>
      <c r="G294" s="22" t="s">
        <v>140</v>
      </c>
      <c r="H294" s="23">
        <v>1350</v>
      </c>
      <c r="I294" s="23">
        <f t="shared" si="9"/>
        <v>22707</v>
      </c>
      <c r="J294" s="23">
        <v>0</v>
      </c>
      <c r="K294" s="23">
        <f t="shared" si="10"/>
        <v>22707</v>
      </c>
      <c r="L294" s="23">
        <v>0</v>
      </c>
      <c r="M294" s="23">
        <f t="shared" si="11"/>
        <v>22707</v>
      </c>
      <c r="N294" s="24" t="s">
        <v>44</v>
      </c>
    </row>
    <row r="295" spans="1:14" ht="15.75" customHeight="1" x14ac:dyDescent="0.25">
      <c r="A295" s="458"/>
      <c r="B295" s="22" t="s">
        <v>22</v>
      </c>
      <c r="C295" s="37">
        <v>29.8</v>
      </c>
      <c r="D295" s="37">
        <v>9.84</v>
      </c>
      <c r="E295" s="37">
        <f t="shared" si="8"/>
        <v>19.96</v>
      </c>
      <c r="F295" s="22" t="s">
        <v>26</v>
      </c>
      <c r="G295" s="22" t="s">
        <v>95</v>
      </c>
      <c r="H295" s="23">
        <v>1225</v>
      </c>
      <c r="I295" s="23">
        <f t="shared" si="9"/>
        <v>24451</v>
      </c>
      <c r="J295" s="23">
        <v>0</v>
      </c>
      <c r="K295" s="23">
        <f t="shared" si="10"/>
        <v>24451</v>
      </c>
      <c r="L295" s="23">
        <v>0</v>
      </c>
      <c r="M295" s="23">
        <f t="shared" si="11"/>
        <v>24451</v>
      </c>
      <c r="N295" s="24" t="s">
        <v>44</v>
      </c>
    </row>
    <row r="296" spans="1:14" ht="15.75" customHeight="1" x14ac:dyDescent="0.25">
      <c r="A296" s="458"/>
      <c r="B296" s="22" t="s">
        <v>115</v>
      </c>
      <c r="C296" s="37">
        <v>27.98</v>
      </c>
      <c r="D296" s="37">
        <v>9.7100000000000009</v>
      </c>
      <c r="E296" s="37">
        <f t="shared" si="8"/>
        <v>18.27</v>
      </c>
      <c r="F296" s="22" t="s">
        <v>23</v>
      </c>
      <c r="G296" s="22" t="s">
        <v>141</v>
      </c>
      <c r="H296" s="23">
        <v>1350</v>
      </c>
      <c r="I296" s="23">
        <f t="shared" si="9"/>
        <v>24664.5</v>
      </c>
      <c r="J296" s="23">
        <v>2500</v>
      </c>
      <c r="K296" s="23">
        <f t="shared" si="10"/>
        <v>27164.5</v>
      </c>
      <c r="L296" s="23">
        <v>0</v>
      </c>
      <c r="M296" s="23">
        <f t="shared" si="11"/>
        <v>27164.5</v>
      </c>
      <c r="N296" s="24" t="s">
        <v>25</v>
      </c>
    </row>
    <row r="297" spans="1:14" ht="15.75" customHeight="1" x14ac:dyDescent="0.25">
      <c r="A297" s="458"/>
      <c r="B297" s="22" t="s">
        <v>67</v>
      </c>
      <c r="C297" s="37">
        <v>30.27</v>
      </c>
      <c r="D297" s="37">
        <v>9.64</v>
      </c>
      <c r="E297" s="37">
        <f t="shared" si="8"/>
        <v>20.63</v>
      </c>
      <c r="F297" s="22" t="s">
        <v>26</v>
      </c>
      <c r="G297" s="22" t="s">
        <v>80</v>
      </c>
      <c r="H297" s="23">
        <v>1365</v>
      </c>
      <c r="I297" s="23">
        <f t="shared" si="9"/>
        <v>28159.949999999997</v>
      </c>
      <c r="J297" s="23">
        <v>0</v>
      </c>
      <c r="K297" s="23">
        <f t="shared" si="10"/>
        <v>28159.949999999997</v>
      </c>
      <c r="L297" s="23">
        <v>0</v>
      </c>
      <c r="M297" s="23">
        <f t="shared" si="11"/>
        <v>28159.949999999997</v>
      </c>
      <c r="N297" s="24" t="s">
        <v>44</v>
      </c>
    </row>
    <row r="298" spans="1:14" ht="15.75" customHeight="1" x14ac:dyDescent="0.25">
      <c r="A298" s="458"/>
      <c r="B298" s="22" t="s">
        <v>30</v>
      </c>
      <c r="C298" s="37">
        <v>28.61</v>
      </c>
      <c r="D298" s="37">
        <v>9.64</v>
      </c>
      <c r="E298" s="37">
        <f t="shared" si="8"/>
        <v>18.97</v>
      </c>
      <c r="F298" s="22" t="s">
        <v>26</v>
      </c>
      <c r="G298" s="22" t="s">
        <v>80</v>
      </c>
      <c r="H298" s="23">
        <v>1365</v>
      </c>
      <c r="I298" s="23">
        <f t="shared" si="9"/>
        <v>25894.05</v>
      </c>
      <c r="J298" s="23">
        <v>0</v>
      </c>
      <c r="K298" s="23">
        <f t="shared" si="10"/>
        <v>25894.05</v>
      </c>
      <c r="L298" s="23">
        <v>0</v>
      </c>
      <c r="M298" s="23">
        <f t="shared" si="11"/>
        <v>25894.05</v>
      </c>
      <c r="N298" s="24" t="s">
        <v>44</v>
      </c>
    </row>
    <row r="299" spans="1:14" ht="15.75" customHeight="1" x14ac:dyDescent="0.25">
      <c r="A299" s="458"/>
      <c r="B299" s="22" t="s">
        <v>58</v>
      </c>
      <c r="C299" s="37">
        <v>28.95</v>
      </c>
      <c r="D299" s="37">
        <v>9.7899999999999991</v>
      </c>
      <c r="E299" s="37">
        <f t="shared" si="8"/>
        <v>19.16</v>
      </c>
      <c r="F299" s="22" t="s">
        <v>26</v>
      </c>
      <c r="G299" s="22" t="s">
        <v>80</v>
      </c>
      <c r="H299" s="23">
        <v>1365</v>
      </c>
      <c r="I299" s="23">
        <f t="shared" si="9"/>
        <v>26153.4</v>
      </c>
      <c r="J299" s="23">
        <v>0</v>
      </c>
      <c r="K299" s="23">
        <f t="shared" si="10"/>
        <v>26153.4</v>
      </c>
      <c r="L299" s="23">
        <v>0</v>
      </c>
      <c r="M299" s="23">
        <f t="shared" si="11"/>
        <v>26153.4</v>
      </c>
      <c r="N299" s="24" t="s">
        <v>44</v>
      </c>
    </row>
    <row r="300" spans="1:14" ht="15.75" customHeight="1" x14ac:dyDescent="0.25">
      <c r="A300" s="458"/>
      <c r="B300" s="22" t="s">
        <v>68</v>
      </c>
      <c r="C300" s="37">
        <v>40.01</v>
      </c>
      <c r="D300" s="37">
        <v>12.44</v>
      </c>
      <c r="E300" s="37">
        <f t="shared" si="8"/>
        <v>27.57</v>
      </c>
      <c r="F300" s="22" t="s">
        <v>29</v>
      </c>
      <c r="G300" s="22" t="s">
        <v>142</v>
      </c>
      <c r="H300" s="23">
        <v>500</v>
      </c>
      <c r="I300" s="23">
        <f t="shared" si="9"/>
        <v>13785</v>
      </c>
      <c r="J300" s="23">
        <v>0</v>
      </c>
      <c r="K300" s="23">
        <f t="shared" si="10"/>
        <v>13785</v>
      </c>
      <c r="L300" s="23">
        <v>0</v>
      </c>
      <c r="M300" s="23">
        <f t="shared" si="11"/>
        <v>13785</v>
      </c>
      <c r="N300" s="24" t="s">
        <v>44</v>
      </c>
    </row>
    <row r="301" spans="1:14" ht="15.75" customHeight="1" x14ac:dyDescent="0.25">
      <c r="A301" s="458"/>
      <c r="B301" s="22" t="s">
        <v>143</v>
      </c>
      <c r="C301" s="37">
        <v>3.05</v>
      </c>
      <c r="D301" s="37">
        <v>2.06</v>
      </c>
      <c r="E301" s="37">
        <f t="shared" si="8"/>
        <v>0.98999999999999977</v>
      </c>
      <c r="F301" s="22" t="s">
        <v>23</v>
      </c>
      <c r="G301" s="22" t="s">
        <v>144</v>
      </c>
      <c r="H301" s="23">
        <v>1350</v>
      </c>
      <c r="I301" s="23">
        <f t="shared" si="9"/>
        <v>1336.4999999999998</v>
      </c>
      <c r="J301" s="23">
        <v>0</v>
      </c>
      <c r="K301" s="23">
        <f t="shared" si="10"/>
        <v>1336.4999999999998</v>
      </c>
      <c r="L301" s="23">
        <v>0</v>
      </c>
      <c r="M301" s="23">
        <f t="shared" si="11"/>
        <v>1336.4999999999998</v>
      </c>
      <c r="N301" s="24" t="s">
        <v>25</v>
      </c>
    </row>
    <row r="302" spans="1:14" ht="15.75" customHeight="1" x14ac:dyDescent="0.25">
      <c r="A302" s="458"/>
      <c r="B302" s="22" t="s">
        <v>143</v>
      </c>
      <c r="C302" s="37">
        <v>3.15</v>
      </c>
      <c r="D302" s="37">
        <v>2.06</v>
      </c>
      <c r="E302" s="37">
        <f t="shared" si="8"/>
        <v>1.0899999999999999</v>
      </c>
      <c r="F302" s="22" t="s">
        <v>38</v>
      </c>
      <c r="G302" s="22" t="s">
        <v>144</v>
      </c>
      <c r="H302" s="23">
        <v>500</v>
      </c>
      <c r="I302" s="23">
        <f t="shared" si="9"/>
        <v>544.99999999999989</v>
      </c>
      <c r="J302" s="23">
        <v>0</v>
      </c>
      <c r="K302" s="23">
        <f t="shared" si="10"/>
        <v>544.99999999999989</v>
      </c>
      <c r="L302" s="23">
        <v>0</v>
      </c>
      <c r="M302" s="23">
        <f t="shared" si="11"/>
        <v>544.99999999999989</v>
      </c>
      <c r="N302" s="24" t="s">
        <v>25</v>
      </c>
    </row>
    <row r="303" spans="1:14" ht="15.75" customHeight="1" x14ac:dyDescent="0.25">
      <c r="A303" s="458"/>
      <c r="B303" s="22" t="s">
        <v>88</v>
      </c>
      <c r="C303" s="37">
        <v>32.57</v>
      </c>
      <c r="D303" s="37">
        <v>10.64</v>
      </c>
      <c r="E303" s="37">
        <f t="shared" si="8"/>
        <v>21.93</v>
      </c>
      <c r="F303" s="22" t="s">
        <v>38</v>
      </c>
      <c r="G303" s="22" t="s">
        <v>89</v>
      </c>
      <c r="H303" s="23">
        <v>500</v>
      </c>
      <c r="I303" s="23">
        <f t="shared" si="9"/>
        <v>10965</v>
      </c>
      <c r="J303" s="23">
        <v>0</v>
      </c>
      <c r="K303" s="23">
        <f t="shared" si="10"/>
        <v>10965</v>
      </c>
      <c r="L303" s="23">
        <v>0</v>
      </c>
      <c r="M303" s="23">
        <f t="shared" si="11"/>
        <v>10965</v>
      </c>
      <c r="N303" s="24" t="s">
        <v>44</v>
      </c>
    </row>
    <row r="304" spans="1:14" ht="15.75" customHeight="1" thickBot="1" x14ac:dyDescent="0.3">
      <c r="A304" s="459"/>
      <c r="B304" s="15" t="s">
        <v>22</v>
      </c>
      <c r="C304" s="52">
        <v>29.07</v>
      </c>
      <c r="D304" s="52">
        <v>9.85</v>
      </c>
      <c r="E304" s="52">
        <f t="shared" si="8"/>
        <v>19.22</v>
      </c>
      <c r="F304" s="15" t="s">
        <v>26</v>
      </c>
      <c r="G304" s="15" t="s">
        <v>95</v>
      </c>
      <c r="H304" s="16">
        <v>1225</v>
      </c>
      <c r="I304" s="16">
        <f t="shared" si="9"/>
        <v>23544.5</v>
      </c>
      <c r="J304" s="16">
        <v>0</v>
      </c>
      <c r="K304" s="16">
        <f t="shared" si="10"/>
        <v>23544.5</v>
      </c>
      <c r="L304" s="16">
        <v>0</v>
      </c>
      <c r="M304" s="16">
        <f t="shared" si="11"/>
        <v>23544.5</v>
      </c>
      <c r="N304" s="17" t="s">
        <v>44</v>
      </c>
    </row>
    <row r="305" spans="1:14" ht="15.75" customHeight="1" x14ac:dyDescent="0.25">
      <c r="A305" s="457">
        <v>45800</v>
      </c>
      <c r="B305" s="12" t="s">
        <v>67</v>
      </c>
      <c r="C305" s="36">
        <v>28.63</v>
      </c>
      <c r="D305" s="36">
        <v>9.65</v>
      </c>
      <c r="E305" s="36">
        <f t="shared" si="8"/>
        <v>18.979999999999997</v>
      </c>
      <c r="F305" s="12" t="s">
        <v>26</v>
      </c>
      <c r="G305" s="12" t="s">
        <v>80</v>
      </c>
      <c r="H305" s="13">
        <v>1365</v>
      </c>
      <c r="I305" s="13">
        <f t="shared" si="9"/>
        <v>25907.699999999997</v>
      </c>
      <c r="J305" s="13">
        <v>0</v>
      </c>
      <c r="K305" s="13">
        <f t="shared" si="10"/>
        <v>25907.699999999997</v>
      </c>
      <c r="L305" s="13">
        <v>0</v>
      </c>
      <c r="M305" s="13">
        <f t="shared" si="11"/>
        <v>25907.699999999997</v>
      </c>
      <c r="N305" s="14" t="s">
        <v>44</v>
      </c>
    </row>
    <row r="306" spans="1:14" ht="15.75" customHeight="1" x14ac:dyDescent="0.25">
      <c r="A306" s="458"/>
      <c r="B306" s="22" t="s">
        <v>115</v>
      </c>
      <c r="C306" s="37">
        <v>28.85</v>
      </c>
      <c r="D306" s="37">
        <v>9.74</v>
      </c>
      <c r="E306" s="37">
        <f t="shared" si="8"/>
        <v>19.11</v>
      </c>
      <c r="F306" s="22" t="s">
        <v>26</v>
      </c>
      <c r="G306" s="22" t="s">
        <v>80</v>
      </c>
      <c r="H306" s="23">
        <v>1365</v>
      </c>
      <c r="I306" s="23">
        <f t="shared" si="9"/>
        <v>26085.149999999998</v>
      </c>
      <c r="J306" s="23">
        <v>0</v>
      </c>
      <c r="K306" s="23">
        <f t="shared" si="10"/>
        <v>26085.149999999998</v>
      </c>
      <c r="L306" s="23">
        <v>0</v>
      </c>
      <c r="M306" s="23">
        <f t="shared" si="11"/>
        <v>26085.149999999998</v>
      </c>
      <c r="N306" s="24" t="s">
        <v>44</v>
      </c>
    </row>
    <row r="307" spans="1:14" ht="15.75" customHeight="1" x14ac:dyDescent="0.25">
      <c r="A307" s="458"/>
      <c r="B307" s="22" t="s">
        <v>30</v>
      </c>
      <c r="C307" s="37">
        <v>27</v>
      </c>
      <c r="D307" s="37">
        <v>9.66</v>
      </c>
      <c r="E307" s="37">
        <f t="shared" si="8"/>
        <v>17.34</v>
      </c>
      <c r="F307" s="22" t="s">
        <v>26</v>
      </c>
      <c r="G307" s="22" t="s">
        <v>80</v>
      </c>
      <c r="H307" s="23">
        <v>1365</v>
      </c>
      <c r="I307" s="23">
        <f t="shared" si="9"/>
        <v>23669.1</v>
      </c>
      <c r="J307" s="23">
        <v>0</v>
      </c>
      <c r="K307" s="23">
        <f t="shared" si="10"/>
        <v>23669.1</v>
      </c>
      <c r="L307" s="23">
        <v>0</v>
      </c>
      <c r="M307" s="23">
        <f t="shared" si="11"/>
        <v>23669.1</v>
      </c>
      <c r="N307" s="24" t="s">
        <v>44</v>
      </c>
    </row>
    <row r="308" spans="1:14" ht="15.75" customHeight="1" x14ac:dyDescent="0.25">
      <c r="A308" s="458"/>
      <c r="B308" s="22" t="s">
        <v>58</v>
      </c>
      <c r="C308" s="37">
        <v>28.82</v>
      </c>
      <c r="D308" s="37">
        <v>9.7799999999999994</v>
      </c>
      <c r="E308" s="37">
        <f t="shared" si="8"/>
        <v>19.04</v>
      </c>
      <c r="F308" s="22" t="s">
        <v>26</v>
      </c>
      <c r="G308" s="22" t="s">
        <v>80</v>
      </c>
      <c r="H308" s="23">
        <v>1365</v>
      </c>
      <c r="I308" s="23">
        <f t="shared" si="9"/>
        <v>25989.599999999999</v>
      </c>
      <c r="J308" s="23">
        <v>0</v>
      </c>
      <c r="K308" s="23">
        <f t="shared" si="10"/>
        <v>25989.599999999999</v>
      </c>
      <c r="L308" s="23">
        <v>0</v>
      </c>
      <c r="M308" s="23">
        <f t="shared" si="11"/>
        <v>25989.599999999999</v>
      </c>
      <c r="N308" s="24" t="s">
        <v>44</v>
      </c>
    </row>
    <row r="309" spans="1:14" ht="15.75" customHeight="1" x14ac:dyDescent="0.25">
      <c r="A309" s="458"/>
      <c r="B309" s="22" t="s">
        <v>88</v>
      </c>
      <c r="C309" s="37">
        <v>31.96</v>
      </c>
      <c r="D309" s="37">
        <v>11.05</v>
      </c>
      <c r="E309" s="37">
        <f t="shared" si="8"/>
        <v>20.91</v>
      </c>
      <c r="F309" s="22" t="s">
        <v>35</v>
      </c>
      <c r="G309" s="22" t="s">
        <v>89</v>
      </c>
      <c r="H309" s="23">
        <v>1125</v>
      </c>
      <c r="I309" s="23">
        <f t="shared" si="9"/>
        <v>23523.75</v>
      </c>
      <c r="J309" s="23">
        <v>0</v>
      </c>
      <c r="K309" s="23">
        <f t="shared" si="10"/>
        <v>23523.75</v>
      </c>
      <c r="L309" s="23">
        <v>0</v>
      </c>
      <c r="M309" s="23">
        <f t="shared" si="11"/>
        <v>23523.75</v>
      </c>
      <c r="N309" s="24" t="s">
        <v>44</v>
      </c>
    </row>
    <row r="310" spans="1:14" ht="15.75" customHeight="1" x14ac:dyDescent="0.25">
      <c r="A310" s="458"/>
      <c r="B310" s="22" t="s">
        <v>51</v>
      </c>
      <c r="C310" s="37">
        <v>28.72</v>
      </c>
      <c r="D310" s="37">
        <v>9.77</v>
      </c>
      <c r="E310" s="37">
        <f t="shared" si="8"/>
        <v>18.95</v>
      </c>
      <c r="F310" s="22" t="s">
        <v>26</v>
      </c>
      <c r="G310" s="22" t="s">
        <v>95</v>
      </c>
      <c r="H310" s="23">
        <v>1225</v>
      </c>
      <c r="I310" s="23">
        <f t="shared" si="9"/>
        <v>23213.75</v>
      </c>
      <c r="J310" s="23">
        <v>0</v>
      </c>
      <c r="K310" s="23">
        <f t="shared" si="10"/>
        <v>23213.75</v>
      </c>
      <c r="L310" s="23">
        <v>0</v>
      </c>
      <c r="M310" s="23">
        <f t="shared" si="11"/>
        <v>23213.75</v>
      </c>
      <c r="N310" s="24" t="s">
        <v>44</v>
      </c>
    </row>
    <row r="311" spans="1:14" ht="15.75" customHeight="1" x14ac:dyDescent="0.25">
      <c r="A311" s="458"/>
      <c r="B311" s="22" t="s">
        <v>67</v>
      </c>
      <c r="C311" s="37">
        <v>28.24</v>
      </c>
      <c r="D311" s="37">
        <v>9.64</v>
      </c>
      <c r="E311" s="37">
        <f t="shared" si="8"/>
        <v>18.599999999999998</v>
      </c>
      <c r="F311" s="22" t="s">
        <v>26</v>
      </c>
      <c r="G311" s="22" t="s">
        <v>80</v>
      </c>
      <c r="H311" s="23">
        <v>1365</v>
      </c>
      <c r="I311" s="23">
        <f t="shared" si="9"/>
        <v>25388.999999999996</v>
      </c>
      <c r="J311" s="23">
        <v>0</v>
      </c>
      <c r="K311" s="23">
        <f t="shared" si="10"/>
        <v>25388.999999999996</v>
      </c>
      <c r="L311" s="23">
        <v>0</v>
      </c>
      <c r="M311" s="23">
        <f t="shared" si="11"/>
        <v>25388.999999999996</v>
      </c>
      <c r="N311" s="24" t="s">
        <v>44</v>
      </c>
    </row>
    <row r="312" spans="1:14" ht="15.75" customHeight="1" x14ac:dyDescent="0.25">
      <c r="A312" s="458"/>
      <c r="B312" s="22" t="s">
        <v>30</v>
      </c>
      <c r="C312" s="37">
        <v>26.94</v>
      </c>
      <c r="D312" s="37">
        <v>9.65</v>
      </c>
      <c r="E312" s="37">
        <f t="shared" si="8"/>
        <v>17.29</v>
      </c>
      <c r="F312" s="22" t="s">
        <v>26</v>
      </c>
      <c r="G312" s="22" t="s">
        <v>80</v>
      </c>
      <c r="H312" s="23">
        <v>1365</v>
      </c>
      <c r="I312" s="23">
        <f t="shared" si="9"/>
        <v>23600.85</v>
      </c>
      <c r="J312" s="23">
        <v>0</v>
      </c>
      <c r="K312" s="23">
        <f t="shared" si="10"/>
        <v>23600.85</v>
      </c>
      <c r="L312" s="23">
        <v>0</v>
      </c>
      <c r="M312" s="23">
        <f t="shared" si="11"/>
        <v>23600.85</v>
      </c>
      <c r="N312" s="24" t="s">
        <v>44</v>
      </c>
    </row>
    <row r="313" spans="1:14" ht="15.75" customHeight="1" x14ac:dyDescent="0.25">
      <c r="A313" s="458"/>
      <c r="B313" s="22" t="s">
        <v>58</v>
      </c>
      <c r="C313" s="37">
        <v>28.48</v>
      </c>
      <c r="D313" s="37">
        <v>9.7899999999999991</v>
      </c>
      <c r="E313" s="37">
        <f t="shared" si="8"/>
        <v>18.690000000000001</v>
      </c>
      <c r="F313" s="22" t="s">
        <v>26</v>
      </c>
      <c r="G313" s="22" t="s">
        <v>80</v>
      </c>
      <c r="H313" s="23">
        <v>1365</v>
      </c>
      <c r="I313" s="23">
        <f t="shared" si="9"/>
        <v>25511.850000000002</v>
      </c>
      <c r="J313" s="23">
        <v>0</v>
      </c>
      <c r="K313" s="23">
        <f t="shared" si="10"/>
        <v>25511.850000000002</v>
      </c>
      <c r="L313" s="23">
        <v>0</v>
      </c>
      <c r="M313" s="23">
        <f t="shared" si="11"/>
        <v>25511.850000000002</v>
      </c>
      <c r="N313" s="24" t="s">
        <v>44</v>
      </c>
    </row>
    <row r="314" spans="1:14" ht="15.75" customHeight="1" x14ac:dyDescent="0.25">
      <c r="A314" s="458"/>
      <c r="B314" s="22" t="s">
        <v>115</v>
      </c>
      <c r="C314" s="37">
        <v>27.53</v>
      </c>
      <c r="D314" s="37">
        <v>9.7200000000000006</v>
      </c>
      <c r="E314" s="37">
        <f t="shared" si="8"/>
        <v>17.810000000000002</v>
      </c>
      <c r="F314" s="22" t="s">
        <v>26</v>
      </c>
      <c r="G314" s="22" t="s">
        <v>95</v>
      </c>
      <c r="H314" s="23">
        <v>1225</v>
      </c>
      <c r="I314" s="23">
        <f t="shared" si="9"/>
        <v>21817.250000000004</v>
      </c>
      <c r="J314" s="23">
        <v>0</v>
      </c>
      <c r="K314" s="23">
        <f t="shared" si="10"/>
        <v>21817.250000000004</v>
      </c>
      <c r="L314" s="23">
        <v>0</v>
      </c>
      <c r="M314" s="23">
        <f t="shared" si="11"/>
        <v>21817.250000000004</v>
      </c>
      <c r="N314" s="24" t="s">
        <v>44</v>
      </c>
    </row>
    <row r="315" spans="1:14" ht="15.75" customHeight="1" x14ac:dyDescent="0.25">
      <c r="A315" s="458"/>
      <c r="B315" s="22" t="s">
        <v>88</v>
      </c>
      <c r="C315" s="37">
        <v>28.75</v>
      </c>
      <c r="D315" s="37">
        <v>11.01</v>
      </c>
      <c r="E315" s="37">
        <f t="shared" si="8"/>
        <v>17.740000000000002</v>
      </c>
      <c r="F315" s="22" t="s">
        <v>35</v>
      </c>
      <c r="G315" s="22" t="s">
        <v>89</v>
      </c>
      <c r="H315" s="23">
        <v>1125</v>
      </c>
      <c r="I315" s="23">
        <f t="shared" si="9"/>
        <v>19957.500000000004</v>
      </c>
      <c r="J315" s="23">
        <v>0</v>
      </c>
      <c r="K315" s="23">
        <f t="shared" si="10"/>
        <v>19957.500000000004</v>
      </c>
      <c r="L315" s="23">
        <v>0</v>
      </c>
      <c r="M315" s="23">
        <f t="shared" si="11"/>
        <v>19957.500000000004</v>
      </c>
      <c r="N315" s="24" t="s">
        <v>44</v>
      </c>
    </row>
    <row r="316" spans="1:14" ht="15.75" customHeight="1" thickBot="1" x14ac:dyDescent="0.3">
      <c r="A316" s="459"/>
      <c r="B316" s="15" t="s">
        <v>51</v>
      </c>
      <c r="C316" s="52">
        <v>29.19</v>
      </c>
      <c r="D316" s="52">
        <v>9.7799999999999994</v>
      </c>
      <c r="E316" s="52">
        <f t="shared" si="8"/>
        <v>19.410000000000004</v>
      </c>
      <c r="F316" s="15" t="s">
        <v>26</v>
      </c>
      <c r="G316" s="15" t="s">
        <v>95</v>
      </c>
      <c r="H316" s="16">
        <v>1225</v>
      </c>
      <c r="I316" s="16">
        <f t="shared" si="9"/>
        <v>23777.250000000004</v>
      </c>
      <c r="J316" s="16">
        <v>0</v>
      </c>
      <c r="K316" s="16">
        <f t="shared" si="10"/>
        <v>23777.250000000004</v>
      </c>
      <c r="L316" s="16">
        <v>0</v>
      </c>
      <c r="M316" s="16">
        <f t="shared" si="11"/>
        <v>23777.250000000004</v>
      </c>
      <c r="N316" s="17" t="s">
        <v>44</v>
      </c>
    </row>
    <row r="317" spans="1:14" ht="15.75" customHeight="1" x14ac:dyDescent="0.25">
      <c r="A317" s="457">
        <v>45801</v>
      </c>
      <c r="B317" s="12" t="s">
        <v>51</v>
      </c>
      <c r="C317" s="36">
        <v>28.91</v>
      </c>
      <c r="D317" s="36">
        <v>9.81</v>
      </c>
      <c r="E317" s="36">
        <f t="shared" si="8"/>
        <v>19.100000000000001</v>
      </c>
      <c r="F317" s="12" t="s">
        <v>26</v>
      </c>
      <c r="G317" s="12" t="s">
        <v>95</v>
      </c>
      <c r="H317" s="13">
        <v>1225</v>
      </c>
      <c r="I317" s="13">
        <f t="shared" si="9"/>
        <v>23397.5</v>
      </c>
      <c r="J317" s="13">
        <v>0</v>
      </c>
      <c r="K317" s="13">
        <f t="shared" si="10"/>
        <v>23397.5</v>
      </c>
      <c r="L317" s="13">
        <v>0</v>
      </c>
      <c r="M317" s="13">
        <f t="shared" si="11"/>
        <v>23397.5</v>
      </c>
      <c r="N317" s="14" t="s">
        <v>44</v>
      </c>
    </row>
    <row r="318" spans="1:14" ht="15.75" customHeight="1" x14ac:dyDescent="0.25">
      <c r="A318" s="458"/>
      <c r="B318" s="22" t="s">
        <v>49</v>
      </c>
      <c r="C318" s="37">
        <v>28.33</v>
      </c>
      <c r="D318" s="37">
        <v>9.5399999999999991</v>
      </c>
      <c r="E318" s="37">
        <f t="shared" si="8"/>
        <v>18.79</v>
      </c>
      <c r="F318" s="22" t="s">
        <v>38</v>
      </c>
      <c r="G318" s="22" t="s">
        <v>118</v>
      </c>
      <c r="H318" s="23">
        <v>500</v>
      </c>
      <c r="I318" s="23">
        <f t="shared" si="9"/>
        <v>9395</v>
      </c>
      <c r="J318" s="23">
        <v>1000</v>
      </c>
      <c r="K318" s="23">
        <f t="shared" si="10"/>
        <v>10395</v>
      </c>
      <c r="L318" s="23">
        <v>45</v>
      </c>
      <c r="M318" s="23">
        <f t="shared" si="11"/>
        <v>10350</v>
      </c>
      <c r="N318" s="24" t="s">
        <v>25</v>
      </c>
    </row>
    <row r="319" spans="1:14" ht="15.75" customHeight="1" x14ac:dyDescent="0.25">
      <c r="A319" s="458"/>
      <c r="B319" s="22" t="s">
        <v>51</v>
      </c>
      <c r="C319" s="37">
        <v>29.57</v>
      </c>
      <c r="D319" s="37">
        <v>9.8000000000000007</v>
      </c>
      <c r="E319" s="37">
        <f t="shared" si="8"/>
        <v>19.77</v>
      </c>
      <c r="F319" s="22" t="s">
        <v>26</v>
      </c>
      <c r="G319" s="22" t="s">
        <v>95</v>
      </c>
      <c r="H319" s="23">
        <v>1225</v>
      </c>
      <c r="I319" s="23">
        <f t="shared" si="9"/>
        <v>24218.25</v>
      </c>
      <c r="J319" s="23">
        <v>0</v>
      </c>
      <c r="K319" s="23">
        <f t="shared" si="10"/>
        <v>24218.25</v>
      </c>
      <c r="L319" s="23">
        <v>0</v>
      </c>
      <c r="M319" s="23">
        <f t="shared" si="11"/>
        <v>24218.25</v>
      </c>
      <c r="N319" s="24" t="s">
        <v>44</v>
      </c>
    </row>
    <row r="320" spans="1:14" ht="15.75" customHeight="1" thickBot="1" x14ac:dyDescent="0.3">
      <c r="A320" s="459"/>
      <c r="B320" s="15" t="s">
        <v>40</v>
      </c>
      <c r="C320" s="52">
        <v>7.06</v>
      </c>
      <c r="D320" s="52">
        <v>3.18</v>
      </c>
      <c r="E320" s="52">
        <f t="shared" si="8"/>
        <v>3.8799999999999994</v>
      </c>
      <c r="F320" s="15" t="s">
        <v>23</v>
      </c>
      <c r="G320" s="15" t="s">
        <v>132</v>
      </c>
      <c r="H320" s="16">
        <v>1350</v>
      </c>
      <c r="I320" s="16">
        <f t="shared" si="9"/>
        <v>5237.9999999999991</v>
      </c>
      <c r="J320" s="16">
        <v>0</v>
      </c>
      <c r="K320" s="16">
        <f t="shared" si="10"/>
        <v>5237.9999999999991</v>
      </c>
      <c r="L320" s="16">
        <v>8</v>
      </c>
      <c r="M320" s="16">
        <f t="shared" si="11"/>
        <v>5229.9999999999991</v>
      </c>
      <c r="N320" s="17" t="s">
        <v>20</v>
      </c>
    </row>
    <row r="321" spans="1:14" ht="15.75" customHeight="1" x14ac:dyDescent="0.25">
      <c r="A321" s="457">
        <v>45802</v>
      </c>
      <c r="B321" s="12" t="s">
        <v>42</v>
      </c>
      <c r="C321" s="36">
        <v>29.92</v>
      </c>
      <c r="D321" s="36">
        <v>9.66</v>
      </c>
      <c r="E321" s="36">
        <f t="shared" si="8"/>
        <v>20.260000000000002</v>
      </c>
      <c r="F321" s="12" t="s">
        <v>18</v>
      </c>
      <c r="G321" s="12" t="s">
        <v>117</v>
      </c>
      <c r="H321" s="13">
        <v>1125</v>
      </c>
      <c r="I321" s="13">
        <f t="shared" si="9"/>
        <v>22792.5</v>
      </c>
      <c r="J321" s="13">
        <v>0</v>
      </c>
      <c r="K321" s="13">
        <f t="shared" si="10"/>
        <v>22792.5</v>
      </c>
      <c r="L321" s="13">
        <v>0</v>
      </c>
      <c r="M321" s="13">
        <f t="shared" si="11"/>
        <v>22792.5</v>
      </c>
      <c r="N321" s="14" t="s">
        <v>44</v>
      </c>
    </row>
    <row r="322" spans="1:14" ht="15.75" customHeight="1" x14ac:dyDescent="0.25">
      <c r="A322" s="458"/>
      <c r="B322" s="22" t="s">
        <v>51</v>
      </c>
      <c r="C322" s="37">
        <v>29.73</v>
      </c>
      <c r="D322" s="37">
        <v>9.7899999999999991</v>
      </c>
      <c r="E322" s="37">
        <f t="shared" si="8"/>
        <v>19.940000000000001</v>
      </c>
      <c r="F322" s="22" t="s">
        <v>18</v>
      </c>
      <c r="G322" s="22" t="s">
        <v>117</v>
      </c>
      <c r="H322" s="23">
        <v>1125</v>
      </c>
      <c r="I322" s="23">
        <f t="shared" si="9"/>
        <v>22432.5</v>
      </c>
      <c r="J322" s="23">
        <v>0</v>
      </c>
      <c r="K322" s="23">
        <f t="shared" si="10"/>
        <v>22432.5</v>
      </c>
      <c r="L322" s="23">
        <v>0</v>
      </c>
      <c r="M322" s="23">
        <f t="shared" si="11"/>
        <v>22432.5</v>
      </c>
      <c r="N322" s="24" t="s">
        <v>44</v>
      </c>
    </row>
    <row r="323" spans="1:14" ht="15.75" customHeight="1" x14ac:dyDescent="0.25">
      <c r="A323" s="458"/>
      <c r="B323" s="22" t="s">
        <v>49</v>
      </c>
      <c r="C323" s="37">
        <v>29.16</v>
      </c>
      <c r="D323" s="37">
        <v>9.5500000000000007</v>
      </c>
      <c r="E323" s="37">
        <f t="shared" si="8"/>
        <v>19.61</v>
      </c>
      <c r="F323" s="22" t="s">
        <v>18</v>
      </c>
      <c r="G323" s="22" t="s">
        <v>117</v>
      </c>
      <c r="H323" s="23">
        <v>1125</v>
      </c>
      <c r="I323" s="23">
        <f t="shared" si="9"/>
        <v>22061.25</v>
      </c>
      <c r="J323" s="23">
        <v>0</v>
      </c>
      <c r="K323" s="23">
        <f t="shared" si="10"/>
        <v>22061.25</v>
      </c>
      <c r="L323" s="23">
        <v>0</v>
      </c>
      <c r="M323" s="23">
        <f t="shared" si="11"/>
        <v>22061.25</v>
      </c>
      <c r="N323" s="24" t="s">
        <v>44</v>
      </c>
    </row>
    <row r="324" spans="1:14" ht="15.75" customHeight="1" x14ac:dyDescent="0.25">
      <c r="A324" s="458"/>
      <c r="B324" s="22" t="s">
        <v>49</v>
      </c>
      <c r="C324" s="37">
        <v>28.66</v>
      </c>
      <c r="D324" s="37">
        <v>9.42</v>
      </c>
      <c r="E324" s="37">
        <f t="shared" si="8"/>
        <v>19.240000000000002</v>
      </c>
      <c r="F324" s="22" t="s">
        <v>38</v>
      </c>
      <c r="G324" s="22" t="s">
        <v>94</v>
      </c>
      <c r="H324" s="23">
        <v>500</v>
      </c>
      <c r="I324" s="23">
        <f t="shared" si="9"/>
        <v>9620.0000000000018</v>
      </c>
      <c r="J324" s="23">
        <v>1000</v>
      </c>
      <c r="K324" s="23">
        <f t="shared" si="10"/>
        <v>10620.000000000002</v>
      </c>
      <c r="L324" s="23">
        <v>0</v>
      </c>
      <c r="M324" s="23">
        <f t="shared" si="11"/>
        <v>10620.000000000002</v>
      </c>
      <c r="N324" s="24" t="s">
        <v>25</v>
      </c>
    </row>
    <row r="325" spans="1:14" ht="15.75" customHeight="1" x14ac:dyDescent="0.25">
      <c r="A325" s="458"/>
      <c r="B325" s="22" t="s">
        <v>42</v>
      </c>
      <c r="C325" s="37">
        <v>30.52</v>
      </c>
      <c r="D325" s="37">
        <v>9.56</v>
      </c>
      <c r="E325" s="37">
        <f t="shared" si="8"/>
        <v>20.96</v>
      </c>
      <c r="F325" s="22" t="s">
        <v>18</v>
      </c>
      <c r="G325" s="22" t="s">
        <v>117</v>
      </c>
      <c r="H325" s="23">
        <v>1125</v>
      </c>
      <c r="I325" s="23">
        <f t="shared" si="9"/>
        <v>23580</v>
      </c>
      <c r="J325" s="23">
        <v>0</v>
      </c>
      <c r="K325" s="23">
        <f t="shared" si="10"/>
        <v>23580</v>
      </c>
      <c r="L325" s="23">
        <v>0</v>
      </c>
      <c r="M325" s="23">
        <f t="shared" si="11"/>
        <v>23580</v>
      </c>
      <c r="N325" s="24" t="s">
        <v>44</v>
      </c>
    </row>
    <row r="326" spans="1:14" ht="15.75" customHeight="1" x14ac:dyDescent="0.25">
      <c r="A326" s="458"/>
      <c r="B326" s="22" t="s">
        <v>51</v>
      </c>
      <c r="C326" s="37">
        <v>29.26</v>
      </c>
      <c r="D326" s="37">
        <v>9.83</v>
      </c>
      <c r="E326" s="37">
        <f t="shared" si="8"/>
        <v>19.43</v>
      </c>
      <c r="F326" s="22" t="s">
        <v>18</v>
      </c>
      <c r="G326" s="22" t="s">
        <v>117</v>
      </c>
      <c r="H326" s="23">
        <v>1125</v>
      </c>
      <c r="I326" s="23">
        <f t="shared" si="9"/>
        <v>21858.75</v>
      </c>
      <c r="J326" s="23">
        <v>0</v>
      </c>
      <c r="K326" s="23">
        <f t="shared" si="10"/>
        <v>21858.75</v>
      </c>
      <c r="L326" s="23">
        <v>0</v>
      </c>
      <c r="M326" s="23">
        <f t="shared" si="11"/>
        <v>21858.75</v>
      </c>
      <c r="N326" s="24" t="s">
        <v>44</v>
      </c>
    </row>
    <row r="327" spans="1:14" ht="15.75" customHeight="1" x14ac:dyDescent="0.25">
      <c r="A327" s="458"/>
      <c r="B327" s="22" t="s">
        <v>42</v>
      </c>
      <c r="C327" s="37">
        <v>29.52</v>
      </c>
      <c r="D327" s="37">
        <v>9.68</v>
      </c>
      <c r="E327" s="37">
        <f t="shared" si="8"/>
        <v>19.84</v>
      </c>
      <c r="F327" s="22" t="s">
        <v>23</v>
      </c>
      <c r="G327" s="22" t="s">
        <v>117</v>
      </c>
      <c r="H327" s="23">
        <v>1250</v>
      </c>
      <c r="I327" s="23">
        <f t="shared" si="9"/>
        <v>24800</v>
      </c>
      <c r="J327" s="23">
        <v>0</v>
      </c>
      <c r="K327" s="23">
        <f t="shared" si="10"/>
        <v>24800</v>
      </c>
      <c r="L327" s="23">
        <v>0</v>
      </c>
      <c r="M327" s="23">
        <f t="shared" si="11"/>
        <v>24800</v>
      </c>
      <c r="N327" s="24" t="s">
        <v>44</v>
      </c>
    </row>
    <row r="328" spans="1:14" ht="15.75" customHeight="1" x14ac:dyDescent="0.25">
      <c r="A328" s="458"/>
      <c r="B328" s="22" t="s">
        <v>51</v>
      </c>
      <c r="C328" s="37">
        <v>29.37</v>
      </c>
      <c r="D328" s="37">
        <v>9.86</v>
      </c>
      <c r="E328" s="37">
        <f t="shared" si="8"/>
        <v>19.510000000000002</v>
      </c>
      <c r="F328" s="22" t="s">
        <v>23</v>
      </c>
      <c r="G328" s="22" t="s">
        <v>117</v>
      </c>
      <c r="H328" s="23">
        <v>1250</v>
      </c>
      <c r="I328" s="23">
        <f t="shared" si="9"/>
        <v>24387.500000000004</v>
      </c>
      <c r="J328" s="23">
        <v>0</v>
      </c>
      <c r="K328" s="23">
        <f t="shared" si="10"/>
        <v>24387.500000000004</v>
      </c>
      <c r="L328" s="23">
        <v>0</v>
      </c>
      <c r="M328" s="23">
        <f t="shared" si="11"/>
        <v>24387.500000000004</v>
      </c>
      <c r="N328" s="24" t="s">
        <v>44</v>
      </c>
    </row>
    <row r="329" spans="1:14" ht="15.75" customHeight="1" x14ac:dyDescent="0.25">
      <c r="A329" s="458"/>
      <c r="B329" s="22" t="s">
        <v>42</v>
      </c>
      <c r="C329" s="37">
        <v>29.69</v>
      </c>
      <c r="D329" s="37">
        <v>9.7100000000000009</v>
      </c>
      <c r="E329" s="37">
        <f t="shared" si="8"/>
        <v>19.98</v>
      </c>
      <c r="F329" s="22" t="s">
        <v>23</v>
      </c>
      <c r="G329" s="22" t="s">
        <v>117</v>
      </c>
      <c r="H329" s="23">
        <v>1250</v>
      </c>
      <c r="I329" s="23">
        <f t="shared" si="9"/>
        <v>24975</v>
      </c>
      <c r="J329" s="23">
        <v>0</v>
      </c>
      <c r="K329" s="23">
        <f t="shared" si="10"/>
        <v>24975</v>
      </c>
      <c r="L329" s="23">
        <v>0</v>
      </c>
      <c r="M329" s="23">
        <f t="shared" si="11"/>
        <v>24975</v>
      </c>
      <c r="N329" s="24" t="s">
        <v>44</v>
      </c>
    </row>
    <row r="330" spans="1:14" ht="15.75" customHeight="1" x14ac:dyDescent="0.25">
      <c r="A330" s="458"/>
      <c r="B330" s="22" t="s">
        <v>49</v>
      </c>
      <c r="C330" s="37">
        <v>29.6</v>
      </c>
      <c r="D330" s="37">
        <v>9.6</v>
      </c>
      <c r="E330" s="37">
        <f t="shared" si="8"/>
        <v>20</v>
      </c>
      <c r="F330" s="22" t="s">
        <v>23</v>
      </c>
      <c r="G330" s="22" t="s">
        <v>117</v>
      </c>
      <c r="H330" s="23">
        <v>1250</v>
      </c>
      <c r="I330" s="23">
        <f t="shared" si="9"/>
        <v>25000</v>
      </c>
      <c r="J330" s="23">
        <v>0</v>
      </c>
      <c r="K330" s="23">
        <f t="shared" si="10"/>
        <v>25000</v>
      </c>
      <c r="L330" s="23">
        <v>0</v>
      </c>
      <c r="M330" s="23">
        <f t="shared" si="11"/>
        <v>25000</v>
      </c>
      <c r="N330" s="24" t="s">
        <v>44</v>
      </c>
    </row>
    <row r="331" spans="1:14" ht="15.75" customHeight="1" x14ac:dyDescent="0.25">
      <c r="A331" s="458"/>
      <c r="B331" s="22" t="s">
        <v>88</v>
      </c>
      <c r="C331" s="37">
        <v>30.5</v>
      </c>
      <c r="D331" s="37">
        <v>10.77</v>
      </c>
      <c r="E331" s="37">
        <f t="shared" si="8"/>
        <v>19.73</v>
      </c>
      <c r="F331" s="22" t="s">
        <v>23</v>
      </c>
      <c r="G331" s="22" t="s">
        <v>89</v>
      </c>
      <c r="H331" s="23">
        <v>1250</v>
      </c>
      <c r="I331" s="23">
        <f t="shared" si="9"/>
        <v>24662.5</v>
      </c>
      <c r="J331" s="23">
        <v>0</v>
      </c>
      <c r="K331" s="23">
        <f t="shared" si="10"/>
        <v>24662.5</v>
      </c>
      <c r="L331" s="23">
        <v>0</v>
      </c>
      <c r="M331" s="23">
        <f t="shared" si="11"/>
        <v>24662.5</v>
      </c>
      <c r="N331" s="24" t="s">
        <v>44</v>
      </c>
    </row>
    <row r="332" spans="1:14" ht="15.75" customHeight="1" x14ac:dyDescent="0.25">
      <c r="A332" s="458"/>
      <c r="B332" s="22" t="s">
        <v>51</v>
      </c>
      <c r="C332" s="37">
        <v>29.72</v>
      </c>
      <c r="D332" s="37">
        <v>9.81</v>
      </c>
      <c r="E332" s="37">
        <f t="shared" si="8"/>
        <v>19.909999999999997</v>
      </c>
      <c r="F332" s="22" t="s">
        <v>23</v>
      </c>
      <c r="G332" s="22" t="s">
        <v>117</v>
      </c>
      <c r="H332" s="23">
        <v>1250</v>
      </c>
      <c r="I332" s="23">
        <f t="shared" si="9"/>
        <v>24887.499999999996</v>
      </c>
      <c r="J332" s="23">
        <v>0</v>
      </c>
      <c r="K332" s="23">
        <f t="shared" si="10"/>
        <v>24887.499999999996</v>
      </c>
      <c r="L332" s="23">
        <v>0</v>
      </c>
      <c r="M332" s="23">
        <f t="shared" si="11"/>
        <v>24887.499999999996</v>
      </c>
      <c r="N332" s="24" t="s">
        <v>44</v>
      </c>
    </row>
    <row r="333" spans="1:14" ht="15.75" customHeight="1" x14ac:dyDescent="0.25">
      <c r="A333" s="458"/>
      <c r="B333" s="22" t="s">
        <v>42</v>
      </c>
      <c r="C333" s="37">
        <v>27.96</v>
      </c>
      <c r="D333" s="37">
        <v>9.69</v>
      </c>
      <c r="E333" s="37">
        <f t="shared" si="8"/>
        <v>18.270000000000003</v>
      </c>
      <c r="F333" s="22" t="s">
        <v>23</v>
      </c>
      <c r="G333" s="22" t="s">
        <v>145</v>
      </c>
      <c r="H333" s="23">
        <v>1350</v>
      </c>
      <c r="I333" s="23">
        <f t="shared" si="9"/>
        <v>24664.500000000004</v>
      </c>
      <c r="J333" s="23">
        <v>2000</v>
      </c>
      <c r="K333" s="23">
        <f t="shared" si="10"/>
        <v>26664.500000000004</v>
      </c>
      <c r="L333" s="23">
        <v>64</v>
      </c>
      <c r="M333" s="23">
        <f t="shared" si="11"/>
        <v>26600.500000000004</v>
      </c>
      <c r="N333" s="24" t="s">
        <v>20</v>
      </c>
    </row>
    <row r="334" spans="1:14" ht="15.75" customHeight="1" x14ac:dyDescent="0.25">
      <c r="A334" s="458"/>
      <c r="B334" s="22" t="s">
        <v>88</v>
      </c>
      <c r="C334" s="37">
        <v>29.84</v>
      </c>
      <c r="D334" s="37">
        <v>10.73</v>
      </c>
      <c r="E334" s="37">
        <f t="shared" si="8"/>
        <v>19.11</v>
      </c>
      <c r="F334" s="22" t="s">
        <v>23</v>
      </c>
      <c r="G334" s="22" t="s">
        <v>89</v>
      </c>
      <c r="H334" s="23">
        <v>1250</v>
      </c>
      <c r="I334" s="23">
        <f t="shared" si="9"/>
        <v>23887.5</v>
      </c>
      <c r="J334" s="23">
        <v>0</v>
      </c>
      <c r="K334" s="23">
        <f t="shared" si="10"/>
        <v>23887.5</v>
      </c>
      <c r="L334" s="23">
        <v>0</v>
      </c>
      <c r="M334" s="23">
        <f t="shared" si="11"/>
        <v>23887.5</v>
      </c>
      <c r="N334" s="24" t="s">
        <v>44</v>
      </c>
    </row>
    <row r="335" spans="1:14" ht="15.75" customHeight="1" x14ac:dyDescent="0.25">
      <c r="A335" s="458"/>
      <c r="B335" s="22" t="s">
        <v>51</v>
      </c>
      <c r="C335" s="37">
        <v>28.85</v>
      </c>
      <c r="D335" s="37">
        <v>9.58</v>
      </c>
      <c r="E335" s="37">
        <f t="shared" si="8"/>
        <v>19.270000000000003</v>
      </c>
      <c r="F335" s="22" t="s">
        <v>23</v>
      </c>
      <c r="G335" s="22" t="s">
        <v>117</v>
      </c>
      <c r="H335" s="23">
        <v>1250</v>
      </c>
      <c r="I335" s="23">
        <f t="shared" si="9"/>
        <v>24087.500000000004</v>
      </c>
      <c r="J335" s="23">
        <v>0</v>
      </c>
      <c r="K335" s="23">
        <f t="shared" si="10"/>
        <v>24087.500000000004</v>
      </c>
      <c r="L335" s="23">
        <v>0</v>
      </c>
      <c r="M335" s="23">
        <f t="shared" si="11"/>
        <v>24087.500000000004</v>
      </c>
      <c r="N335" s="24" t="s">
        <v>44</v>
      </c>
    </row>
    <row r="336" spans="1:14" ht="15.75" customHeight="1" thickBot="1" x14ac:dyDescent="0.3">
      <c r="A336" s="459"/>
      <c r="B336" s="15" t="s">
        <v>49</v>
      </c>
      <c r="C336" s="52">
        <v>29.64</v>
      </c>
      <c r="D336" s="52">
        <v>9.9700000000000006</v>
      </c>
      <c r="E336" s="52">
        <f t="shared" si="8"/>
        <v>19.670000000000002</v>
      </c>
      <c r="F336" s="15" t="s">
        <v>23</v>
      </c>
      <c r="G336" s="15" t="s">
        <v>117</v>
      </c>
      <c r="H336" s="16">
        <v>1250</v>
      </c>
      <c r="I336" s="16">
        <f t="shared" si="9"/>
        <v>24587.500000000004</v>
      </c>
      <c r="J336" s="16">
        <v>0</v>
      </c>
      <c r="K336" s="16">
        <f t="shared" si="10"/>
        <v>24587.500000000004</v>
      </c>
      <c r="L336" s="16">
        <v>0</v>
      </c>
      <c r="M336" s="16">
        <f t="shared" si="11"/>
        <v>24587.500000000004</v>
      </c>
      <c r="N336" s="17" t="s">
        <v>44</v>
      </c>
    </row>
    <row r="337" spans="1:14" ht="15.75" customHeight="1" x14ac:dyDescent="0.25">
      <c r="A337" s="457">
        <v>45803</v>
      </c>
      <c r="B337" s="12" t="s">
        <v>49</v>
      </c>
      <c r="C337" s="36">
        <v>30.01</v>
      </c>
      <c r="D337" s="36">
        <v>9.59</v>
      </c>
      <c r="E337" s="36">
        <f t="shared" si="8"/>
        <v>20.420000000000002</v>
      </c>
      <c r="F337" s="12" t="s">
        <v>23</v>
      </c>
      <c r="G337" s="12" t="s">
        <v>117</v>
      </c>
      <c r="H337" s="13">
        <v>1250</v>
      </c>
      <c r="I337" s="13">
        <f t="shared" si="9"/>
        <v>25525.000000000004</v>
      </c>
      <c r="J337" s="13">
        <v>0</v>
      </c>
      <c r="K337" s="13">
        <f t="shared" si="10"/>
        <v>25525.000000000004</v>
      </c>
      <c r="L337" s="13">
        <v>0</v>
      </c>
      <c r="M337" s="13">
        <f t="shared" si="11"/>
        <v>25525.000000000004</v>
      </c>
      <c r="N337" s="14" t="s">
        <v>44</v>
      </c>
    </row>
    <row r="338" spans="1:14" ht="15.75" customHeight="1" x14ac:dyDescent="0.25">
      <c r="A338" s="458"/>
      <c r="B338" s="22" t="s">
        <v>42</v>
      </c>
      <c r="C338" s="37">
        <v>29.11</v>
      </c>
      <c r="D338" s="37">
        <v>9.69</v>
      </c>
      <c r="E338" s="37">
        <f t="shared" si="8"/>
        <v>19.420000000000002</v>
      </c>
      <c r="F338" s="22" t="s">
        <v>23</v>
      </c>
      <c r="G338" s="22" t="s">
        <v>117</v>
      </c>
      <c r="H338" s="23">
        <v>1250</v>
      </c>
      <c r="I338" s="23">
        <f t="shared" si="9"/>
        <v>24275.000000000004</v>
      </c>
      <c r="J338" s="23">
        <v>0</v>
      </c>
      <c r="K338" s="23">
        <f t="shared" si="10"/>
        <v>24275.000000000004</v>
      </c>
      <c r="L338" s="23">
        <v>0</v>
      </c>
      <c r="M338" s="23">
        <f t="shared" si="11"/>
        <v>24275.000000000004</v>
      </c>
      <c r="N338" s="24" t="s">
        <v>44</v>
      </c>
    </row>
    <row r="339" spans="1:14" ht="15.75" customHeight="1" x14ac:dyDescent="0.25">
      <c r="A339" s="458"/>
      <c r="B339" s="22" t="s">
        <v>51</v>
      </c>
      <c r="C339" s="37">
        <v>28.75</v>
      </c>
      <c r="D339" s="37">
        <v>9.77</v>
      </c>
      <c r="E339" s="37">
        <f t="shared" si="8"/>
        <v>18.98</v>
      </c>
      <c r="F339" s="22" t="s">
        <v>26</v>
      </c>
      <c r="G339" s="22" t="s">
        <v>95</v>
      </c>
      <c r="H339" s="23">
        <v>1225</v>
      </c>
      <c r="I339" s="23">
        <f t="shared" si="9"/>
        <v>23250.5</v>
      </c>
      <c r="J339" s="23">
        <v>0</v>
      </c>
      <c r="K339" s="23">
        <f t="shared" si="10"/>
        <v>23250.5</v>
      </c>
      <c r="L339" s="23">
        <v>0</v>
      </c>
      <c r="M339" s="23">
        <f t="shared" si="11"/>
        <v>23250.5</v>
      </c>
      <c r="N339" s="24" t="s">
        <v>44</v>
      </c>
    </row>
    <row r="340" spans="1:14" ht="15.75" customHeight="1" x14ac:dyDescent="0.25">
      <c r="A340" s="458"/>
      <c r="B340" s="22" t="s">
        <v>51</v>
      </c>
      <c r="C340" s="37">
        <v>30.05</v>
      </c>
      <c r="D340" s="37">
        <v>9.7799999999999994</v>
      </c>
      <c r="E340" s="37">
        <f t="shared" si="8"/>
        <v>20.270000000000003</v>
      </c>
      <c r="F340" s="22" t="s">
        <v>23</v>
      </c>
      <c r="G340" s="22" t="s">
        <v>117</v>
      </c>
      <c r="H340" s="23">
        <v>1250</v>
      </c>
      <c r="I340" s="23">
        <f t="shared" si="9"/>
        <v>25337.500000000004</v>
      </c>
      <c r="J340" s="23">
        <v>0</v>
      </c>
      <c r="K340" s="23">
        <f t="shared" si="10"/>
        <v>25337.500000000004</v>
      </c>
      <c r="L340" s="23">
        <v>0</v>
      </c>
      <c r="M340" s="23">
        <f t="shared" si="11"/>
        <v>25337.500000000004</v>
      </c>
      <c r="N340" s="24" t="s">
        <v>44</v>
      </c>
    </row>
    <row r="341" spans="1:14" ht="15.75" customHeight="1" x14ac:dyDescent="0.25">
      <c r="A341" s="458"/>
      <c r="B341" s="22" t="s">
        <v>22</v>
      </c>
      <c r="C341" s="37">
        <v>28.52</v>
      </c>
      <c r="D341" s="37">
        <v>9.84</v>
      </c>
      <c r="E341" s="37">
        <f t="shared" si="8"/>
        <v>18.68</v>
      </c>
      <c r="F341" s="22" t="s">
        <v>26</v>
      </c>
      <c r="G341" s="22" t="s">
        <v>95</v>
      </c>
      <c r="H341" s="23">
        <v>1225</v>
      </c>
      <c r="I341" s="23">
        <f t="shared" si="9"/>
        <v>22883</v>
      </c>
      <c r="J341" s="23">
        <v>0</v>
      </c>
      <c r="K341" s="23">
        <f t="shared" si="10"/>
        <v>22883</v>
      </c>
      <c r="L341" s="23">
        <v>0</v>
      </c>
      <c r="M341" s="23">
        <f t="shared" si="11"/>
        <v>22883</v>
      </c>
      <c r="N341" s="24" t="s">
        <v>44</v>
      </c>
    </row>
    <row r="342" spans="1:14" ht="15.75" customHeight="1" x14ac:dyDescent="0.25">
      <c r="A342" s="458"/>
      <c r="B342" s="22" t="s">
        <v>49</v>
      </c>
      <c r="C342" s="37">
        <v>29.72</v>
      </c>
      <c r="D342" s="37">
        <v>9.59</v>
      </c>
      <c r="E342" s="37">
        <f t="shared" si="8"/>
        <v>20.13</v>
      </c>
      <c r="F342" s="22" t="s">
        <v>23</v>
      </c>
      <c r="G342" s="22" t="s">
        <v>117</v>
      </c>
      <c r="H342" s="23">
        <v>1250</v>
      </c>
      <c r="I342" s="23">
        <f t="shared" si="9"/>
        <v>25162.5</v>
      </c>
      <c r="J342" s="23">
        <v>0</v>
      </c>
      <c r="K342" s="23">
        <f t="shared" si="10"/>
        <v>25162.5</v>
      </c>
      <c r="L342" s="23">
        <v>0</v>
      </c>
      <c r="M342" s="23">
        <f t="shared" si="11"/>
        <v>25162.5</v>
      </c>
      <c r="N342" s="24" t="s">
        <v>44</v>
      </c>
    </row>
    <row r="343" spans="1:14" ht="15.75" customHeight="1" x14ac:dyDescent="0.25">
      <c r="A343" s="458"/>
      <c r="B343" s="22" t="s">
        <v>42</v>
      </c>
      <c r="C343" s="37">
        <v>30.59</v>
      </c>
      <c r="D343" s="37">
        <v>9.68</v>
      </c>
      <c r="E343" s="37">
        <f t="shared" si="8"/>
        <v>20.91</v>
      </c>
      <c r="F343" s="22" t="s">
        <v>23</v>
      </c>
      <c r="G343" s="22" t="s">
        <v>117</v>
      </c>
      <c r="H343" s="23">
        <v>1250</v>
      </c>
      <c r="I343" s="23">
        <f t="shared" si="9"/>
        <v>26137.5</v>
      </c>
      <c r="J343" s="23">
        <v>0</v>
      </c>
      <c r="K343" s="23">
        <f t="shared" si="10"/>
        <v>26137.5</v>
      </c>
      <c r="L343" s="23">
        <v>0</v>
      </c>
      <c r="M343" s="23">
        <f t="shared" si="11"/>
        <v>26137.5</v>
      </c>
      <c r="N343" s="24" t="s">
        <v>44</v>
      </c>
    </row>
    <row r="344" spans="1:14" ht="15.75" customHeight="1" x14ac:dyDescent="0.25">
      <c r="A344" s="458"/>
      <c r="B344" s="22" t="s">
        <v>49</v>
      </c>
      <c r="C344" s="37">
        <v>29.5</v>
      </c>
      <c r="D344" s="37">
        <v>9.58</v>
      </c>
      <c r="E344" s="37">
        <f t="shared" ref="E344:E388" si="12">C344-D344</f>
        <v>19.920000000000002</v>
      </c>
      <c r="F344" s="22" t="s">
        <v>23</v>
      </c>
      <c r="G344" s="22" t="s">
        <v>117</v>
      </c>
      <c r="H344" s="23">
        <v>1250</v>
      </c>
      <c r="I344" s="23">
        <f t="shared" ref="I344:I388" si="13">E344*H344</f>
        <v>24900.000000000004</v>
      </c>
      <c r="J344" s="23">
        <v>0</v>
      </c>
      <c r="K344" s="23">
        <f t="shared" ref="K344:K388" si="14">I344+J344</f>
        <v>24900.000000000004</v>
      </c>
      <c r="L344" s="23">
        <v>0</v>
      </c>
      <c r="M344" s="23">
        <f t="shared" ref="M344:M388" si="15">K344-L344</f>
        <v>24900.000000000004</v>
      </c>
      <c r="N344" s="24" t="s">
        <v>44</v>
      </c>
    </row>
    <row r="345" spans="1:14" ht="15.75" customHeight="1" x14ac:dyDescent="0.25">
      <c r="A345" s="458"/>
      <c r="B345" s="22" t="s">
        <v>42</v>
      </c>
      <c r="C345" s="37">
        <v>29.17</v>
      </c>
      <c r="D345" s="37">
        <v>9.68</v>
      </c>
      <c r="E345" s="37">
        <f t="shared" si="12"/>
        <v>19.490000000000002</v>
      </c>
      <c r="F345" s="22" t="s">
        <v>23</v>
      </c>
      <c r="G345" s="22" t="s">
        <v>117</v>
      </c>
      <c r="H345" s="23">
        <v>1250</v>
      </c>
      <c r="I345" s="23">
        <f t="shared" si="13"/>
        <v>24362.500000000004</v>
      </c>
      <c r="J345" s="23">
        <v>0</v>
      </c>
      <c r="K345" s="23">
        <f t="shared" si="14"/>
        <v>24362.500000000004</v>
      </c>
      <c r="L345" s="23">
        <v>0</v>
      </c>
      <c r="M345" s="23">
        <f t="shared" si="15"/>
        <v>24362.500000000004</v>
      </c>
      <c r="N345" s="24" t="s">
        <v>44</v>
      </c>
    </row>
    <row r="346" spans="1:14" ht="15.75" customHeight="1" x14ac:dyDescent="0.25">
      <c r="A346" s="458"/>
      <c r="B346" s="22" t="s">
        <v>22</v>
      </c>
      <c r="C346" s="37">
        <v>28.19</v>
      </c>
      <c r="D346" s="37">
        <v>9.85</v>
      </c>
      <c r="E346" s="37">
        <f t="shared" si="12"/>
        <v>18.340000000000003</v>
      </c>
      <c r="F346" s="22" t="s">
        <v>26</v>
      </c>
      <c r="G346" s="22" t="s">
        <v>95</v>
      </c>
      <c r="H346" s="23">
        <v>1225</v>
      </c>
      <c r="I346" s="23">
        <f t="shared" si="13"/>
        <v>22466.500000000004</v>
      </c>
      <c r="J346" s="23">
        <v>0</v>
      </c>
      <c r="K346" s="23">
        <f t="shared" si="14"/>
        <v>22466.500000000004</v>
      </c>
      <c r="L346" s="23">
        <v>0</v>
      </c>
      <c r="M346" s="23">
        <f t="shared" si="15"/>
        <v>22466.500000000004</v>
      </c>
      <c r="N346" s="24" t="s">
        <v>44</v>
      </c>
    </row>
    <row r="347" spans="1:14" ht="15.75" customHeight="1" x14ac:dyDescent="0.25">
      <c r="A347" s="458"/>
      <c r="B347" s="22" t="s">
        <v>51</v>
      </c>
      <c r="C347" s="37">
        <v>30.07</v>
      </c>
      <c r="D347" s="37">
        <v>9.7899999999999991</v>
      </c>
      <c r="E347" s="37">
        <f t="shared" si="12"/>
        <v>20.28</v>
      </c>
      <c r="F347" s="22" t="s">
        <v>23</v>
      </c>
      <c r="G347" s="22" t="s">
        <v>117</v>
      </c>
      <c r="H347" s="23">
        <v>1250</v>
      </c>
      <c r="I347" s="23">
        <f t="shared" si="13"/>
        <v>25350</v>
      </c>
      <c r="J347" s="23">
        <v>0</v>
      </c>
      <c r="K347" s="23">
        <f t="shared" si="14"/>
        <v>25350</v>
      </c>
      <c r="L347" s="23">
        <v>0</v>
      </c>
      <c r="M347" s="23">
        <f t="shared" si="15"/>
        <v>25350</v>
      </c>
      <c r="N347" s="24" t="s">
        <v>44</v>
      </c>
    </row>
    <row r="348" spans="1:14" ht="15.75" customHeight="1" x14ac:dyDescent="0.25">
      <c r="A348" s="458"/>
      <c r="B348" s="22" t="s">
        <v>49</v>
      </c>
      <c r="C348" s="37">
        <v>30.03</v>
      </c>
      <c r="D348" s="37">
        <v>9.61</v>
      </c>
      <c r="E348" s="37">
        <f t="shared" si="12"/>
        <v>20.420000000000002</v>
      </c>
      <c r="F348" s="22" t="s">
        <v>23</v>
      </c>
      <c r="G348" s="22" t="s">
        <v>117</v>
      </c>
      <c r="H348" s="23">
        <v>1250</v>
      </c>
      <c r="I348" s="23">
        <f t="shared" si="13"/>
        <v>25525.000000000004</v>
      </c>
      <c r="J348" s="23">
        <v>0</v>
      </c>
      <c r="K348" s="23">
        <f t="shared" si="14"/>
        <v>25525.000000000004</v>
      </c>
      <c r="L348" s="23">
        <v>0</v>
      </c>
      <c r="M348" s="23">
        <f t="shared" si="15"/>
        <v>25525.000000000004</v>
      </c>
      <c r="N348" s="24" t="s">
        <v>44</v>
      </c>
    </row>
    <row r="349" spans="1:14" ht="15.75" customHeight="1" x14ac:dyDescent="0.25">
      <c r="A349" s="458"/>
      <c r="B349" s="22" t="s">
        <v>51</v>
      </c>
      <c r="C349" s="37">
        <v>31.19</v>
      </c>
      <c r="D349" s="37">
        <v>9.81</v>
      </c>
      <c r="E349" s="37">
        <f t="shared" si="12"/>
        <v>21.380000000000003</v>
      </c>
      <c r="F349" s="22" t="s">
        <v>23</v>
      </c>
      <c r="G349" s="22" t="s">
        <v>117</v>
      </c>
      <c r="H349" s="23">
        <v>1250</v>
      </c>
      <c r="I349" s="23">
        <f t="shared" si="13"/>
        <v>26725.000000000004</v>
      </c>
      <c r="J349" s="23">
        <v>0</v>
      </c>
      <c r="K349" s="23">
        <f t="shared" si="14"/>
        <v>26725.000000000004</v>
      </c>
      <c r="L349" s="23">
        <v>0</v>
      </c>
      <c r="M349" s="23">
        <f t="shared" si="15"/>
        <v>26725.000000000004</v>
      </c>
      <c r="N349" s="24" t="s">
        <v>44</v>
      </c>
    </row>
    <row r="350" spans="1:14" ht="15.75" customHeight="1" thickBot="1" x14ac:dyDescent="0.3">
      <c r="A350" s="459"/>
      <c r="B350" s="15" t="s">
        <v>22</v>
      </c>
      <c r="C350" s="52">
        <v>31.59</v>
      </c>
      <c r="D350" s="52">
        <v>9.91</v>
      </c>
      <c r="E350" s="52">
        <f t="shared" si="12"/>
        <v>21.68</v>
      </c>
      <c r="F350" s="15" t="s">
        <v>23</v>
      </c>
      <c r="G350" s="15" t="s">
        <v>117</v>
      </c>
      <c r="H350" s="16">
        <v>1250</v>
      </c>
      <c r="I350" s="16">
        <f t="shared" si="13"/>
        <v>27100</v>
      </c>
      <c r="J350" s="16">
        <v>0</v>
      </c>
      <c r="K350" s="16">
        <f t="shared" si="14"/>
        <v>27100</v>
      </c>
      <c r="L350" s="16">
        <v>0</v>
      </c>
      <c r="M350" s="16">
        <f t="shared" si="15"/>
        <v>27100</v>
      </c>
      <c r="N350" s="17" t="s">
        <v>44</v>
      </c>
    </row>
    <row r="351" spans="1:14" ht="15.75" customHeight="1" x14ac:dyDescent="0.25">
      <c r="A351" s="457">
        <v>45804</v>
      </c>
      <c r="B351" s="12" t="s">
        <v>51</v>
      </c>
      <c r="C351" s="36">
        <v>29.56</v>
      </c>
      <c r="D351" s="36">
        <v>9.76</v>
      </c>
      <c r="E351" s="36">
        <f t="shared" si="12"/>
        <v>19.799999999999997</v>
      </c>
      <c r="F351" s="12" t="s">
        <v>26</v>
      </c>
      <c r="G351" s="12" t="s">
        <v>95</v>
      </c>
      <c r="H351" s="13">
        <v>1225</v>
      </c>
      <c r="I351" s="13">
        <f t="shared" si="13"/>
        <v>24254.999999999996</v>
      </c>
      <c r="J351" s="13">
        <v>0</v>
      </c>
      <c r="K351" s="13">
        <f t="shared" si="14"/>
        <v>24254.999999999996</v>
      </c>
      <c r="L351" s="13">
        <v>0</v>
      </c>
      <c r="M351" s="13">
        <f t="shared" si="15"/>
        <v>24254.999999999996</v>
      </c>
      <c r="N351" s="14" t="s">
        <v>44</v>
      </c>
    </row>
    <row r="352" spans="1:14" ht="15.75" customHeight="1" x14ac:dyDescent="0.25">
      <c r="A352" s="458"/>
      <c r="B352" s="22" t="s">
        <v>22</v>
      </c>
      <c r="C352" s="37">
        <v>29.44</v>
      </c>
      <c r="D352" s="37">
        <v>9.8800000000000008</v>
      </c>
      <c r="E352" s="37">
        <f t="shared" si="12"/>
        <v>19.560000000000002</v>
      </c>
      <c r="F352" s="22" t="s">
        <v>26</v>
      </c>
      <c r="G352" s="22" t="s">
        <v>95</v>
      </c>
      <c r="H352" s="23">
        <v>1225</v>
      </c>
      <c r="I352" s="23">
        <f t="shared" si="13"/>
        <v>23961.000000000004</v>
      </c>
      <c r="J352" s="23">
        <v>0</v>
      </c>
      <c r="K352" s="23">
        <f t="shared" si="14"/>
        <v>23961.000000000004</v>
      </c>
      <c r="L352" s="23">
        <v>0</v>
      </c>
      <c r="M352" s="23">
        <f t="shared" si="15"/>
        <v>23961.000000000004</v>
      </c>
      <c r="N352" s="24" t="s">
        <v>44</v>
      </c>
    </row>
    <row r="353" spans="1:14" ht="15.75" customHeight="1" x14ac:dyDescent="0.25">
      <c r="A353" s="458"/>
      <c r="B353" s="22" t="s">
        <v>42</v>
      </c>
      <c r="C353" s="37">
        <v>30.36</v>
      </c>
      <c r="D353" s="37">
        <v>9.68</v>
      </c>
      <c r="E353" s="37">
        <f t="shared" si="12"/>
        <v>20.68</v>
      </c>
      <c r="F353" s="22" t="s">
        <v>23</v>
      </c>
      <c r="G353" s="22" t="s">
        <v>117</v>
      </c>
      <c r="H353" s="23">
        <v>1250</v>
      </c>
      <c r="I353" s="23">
        <f t="shared" si="13"/>
        <v>25850</v>
      </c>
      <c r="J353" s="23">
        <v>0</v>
      </c>
      <c r="K353" s="23">
        <f t="shared" si="14"/>
        <v>25850</v>
      </c>
      <c r="L353" s="23">
        <v>0</v>
      </c>
      <c r="M353" s="23">
        <f t="shared" si="15"/>
        <v>25850</v>
      </c>
      <c r="N353" s="24" t="s">
        <v>44</v>
      </c>
    </row>
    <row r="354" spans="1:14" ht="15.75" customHeight="1" x14ac:dyDescent="0.25">
      <c r="A354" s="458"/>
      <c r="B354" s="22" t="s">
        <v>49</v>
      </c>
      <c r="C354" s="37">
        <v>30.17</v>
      </c>
      <c r="D354" s="37">
        <v>9.56</v>
      </c>
      <c r="E354" s="37">
        <f t="shared" si="12"/>
        <v>20.61</v>
      </c>
      <c r="F354" s="22" t="s">
        <v>23</v>
      </c>
      <c r="G354" s="22" t="s">
        <v>117</v>
      </c>
      <c r="H354" s="23">
        <v>1250</v>
      </c>
      <c r="I354" s="23">
        <f t="shared" si="13"/>
        <v>25762.5</v>
      </c>
      <c r="J354" s="23">
        <v>0</v>
      </c>
      <c r="K354" s="23">
        <f t="shared" si="14"/>
        <v>25762.5</v>
      </c>
      <c r="L354" s="23">
        <v>0</v>
      </c>
      <c r="M354" s="23">
        <f t="shared" si="15"/>
        <v>25762.5</v>
      </c>
      <c r="N354" s="24" t="s">
        <v>44</v>
      </c>
    </row>
    <row r="355" spans="1:14" ht="15.75" customHeight="1" x14ac:dyDescent="0.25">
      <c r="A355" s="458"/>
      <c r="B355" s="22" t="s">
        <v>49</v>
      </c>
      <c r="C355" s="37">
        <v>29.16</v>
      </c>
      <c r="D355" s="37">
        <v>9.56</v>
      </c>
      <c r="E355" s="37">
        <f t="shared" si="12"/>
        <v>19.600000000000001</v>
      </c>
      <c r="F355" s="22" t="s">
        <v>35</v>
      </c>
      <c r="G355" s="22" t="s">
        <v>111</v>
      </c>
      <c r="H355" s="23">
        <v>1100</v>
      </c>
      <c r="I355" s="23">
        <f t="shared" si="13"/>
        <v>21560</v>
      </c>
      <c r="J355" s="23">
        <v>0</v>
      </c>
      <c r="K355" s="23">
        <f t="shared" si="14"/>
        <v>21560</v>
      </c>
      <c r="L355" s="23">
        <v>0</v>
      </c>
      <c r="M355" s="23">
        <f t="shared" si="15"/>
        <v>21560</v>
      </c>
      <c r="N355" s="24" t="s">
        <v>44</v>
      </c>
    </row>
    <row r="356" spans="1:14" ht="15.75" customHeight="1" x14ac:dyDescent="0.25">
      <c r="A356" s="458"/>
      <c r="B356" s="22" t="s">
        <v>51</v>
      </c>
      <c r="C356" s="37">
        <v>29.47</v>
      </c>
      <c r="D356" s="37">
        <v>9.7899999999999991</v>
      </c>
      <c r="E356" s="37">
        <f t="shared" si="12"/>
        <v>19.68</v>
      </c>
      <c r="F356" s="22" t="s">
        <v>26</v>
      </c>
      <c r="G356" s="22" t="s">
        <v>95</v>
      </c>
      <c r="H356" s="23">
        <v>1225</v>
      </c>
      <c r="I356" s="23">
        <f t="shared" si="13"/>
        <v>24108</v>
      </c>
      <c r="J356" s="23">
        <v>0</v>
      </c>
      <c r="K356" s="23">
        <f t="shared" si="14"/>
        <v>24108</v>
      </c>
      <c r="L356" s="23">
        <v>0</v>
      </c>
      <c r="M356" s="23">
        <f t="shared" si="15"/>
        <v>24108</v>
      </c>
      <c r="N356" s="24" t="s">
        <v>44</v>
      </c>
    </row>
    <row r="357" spans="1:14" ht="15.75" customHeight="1" x14ac:dyDescent="0.25">
      <c r="A357" s="458"/>
      <c r="B357" s="22" t="s">
        <v>42</v>
      </c>
      <c r="C357" s="37">
        <v>31.18</v>
      </c>
      <c r="D357" s="37">
        <v>9.69</v>
      </c>
      <c r="E357" s="37">
        <f t="shared" si="12"/>
        <v>21.490000000000002</v>
      </c>
      <c r="F357" s="22" t="s">
        <v>35</v>
      </c>
      <c r="G357" s="22" t="s">
        <v>111</v>
      </c>
      <c r="H357" s="23">
        <v>1100</v>
      </c>
      <c r="I357" s="23">
        <f t="shared" si="13"/>
        <v>23639.000000000004</v>
      </c>
      <c r="J357" s="23">
        <v>0</v>
      </c>
      <c r="K357" s="23">
        <f t="shared" si="14"/>
        <v>23639.000000000004</v>
      </c>
      <c r="L357" s="23">
        <v>0</v>
      </c>
      <c r="M357" s="23">
        <f t="shared" si="15"/>
        <v>23639.000000000004</v>
      </c>
      <c r="N357" s="24" t="s">
        <v>44</v>
      </c>
    </row>
    <row r="358" spans="1:14" ht="15.75" customHeight="1" x14ac:dyDescent="0.25">
      <c r="A358" s="458"/>
      <c r="B358" s="22" t="s">
        <v>22</v>
      </c>
      <c r="C358" s="37">
        <v>29.52</v>
      </c>
      <c r="D358" s="37">
        <v>9.8800000000000008</v>
      </c>
      <c r="E358" s="37">
        <f t="shared" si="12"/>
        <v>19.64</v>
      </c>
      <c r="F358" s="22" t="s">
        <v>26</v>
      </c>
      <c r="G358" s="22" t="s">
        <v>95</v>
      </c>
      <c r="H358" s="23">
        <v>1225</v>
      </c>
      <c r="I358" s="23">
        <f t="shared" si="13"/>
        <v>24059</v>
      </c>
      <c r="J358" s="23">
        <v>0</v>
      </c>
      <c r="K358" s="23">
        <f t="shared" si="14"/>
        <v>24059</v>
      </c>
      <c r="L358" s="23">
        <v>0</v>
      </c>
      <c r="M358" s="23">
        <f t="shared" si="15"/>
        <v>24059</v>
      </c>
      <c r="N358" s="24" t="s">
        <v>44</v>
      </c>
    </row>
    <row r="359" spans="1:14" ht="15.75" customHeight="1" thickBot="1" x14ac:dyDescent="0.3">
      <c r="A359" s="459"/>
      <c r="B359" s="15" t="s">
        <v>146</v>
      </c>
      <c r="C359" s="52">
        <v>6.98</v>
      </c>
      <c r="D359" s="52">
        <v>3.06</v>
      </c>
      <c r="E359" s="52">
        <f t="shared" si="12"/>
        <v>3.9200000000000004</v>
      </c>
      <c r="F359" s="15" t="s">
        <v>23</v>
      </c>
      <c r="G359" s="15" t="s">
        <v>147</v>
      </c>
      <c r="H359" s="16">
        <v>1350</v>
      </c>
      <c r="I359" s="16">
        <f t="shared" si="13"/>
        <v>5292.0000000000009</v>
      </c>
      <c r="J359" s="16">
        <v>0</v>
      </c>
      <c r="K359" s="16">
        <f t="shared" si="14"/>
        <v>5292.0000000000009</v>
      </c>
      <c r="L359" s="16">
        <v>2</v>
      </c>
      <c r="M359" s="16">
        <f t="shared" si="15"/>
        <v>5290.0000000000009</v>
      </c>
      <c r="N359" s="17" t="s">
        <v>20</v>
      </c>
    </row>
    <row r="360" spans="1:14" ht="15.75" customHeight="1" x14ac:dyDescent="0.25">
      <c r="A360" s="457">
        <v>45805</v>
      </c>
      <c r="B360" s="12" t="s">
        <v>115</v>
      </c>
      <c r="C360" s="36">
        <v>29.65</v>
      </c>
      <c r="D360" s="36">
        <v>9.68</v>
      </c>
      <c r="E360" s="36">
        <f t="shared" si="12"/>
        <v>19.97</v>
      </c>
      <c r="F360" s="12" t="s">
        <v>26</v>
      </c>
      <c r="G360" s="12" t="s">
        <v>80</v>
      </c>
      <c r="H360" s="13">
        <v>1365</v>
      </c>
      <c r="I360" s="13">
        <f t="shared" si="13"/>
        <v>27259.05</v>
      </c>
      <c r="J360" s="13">
        <v>0</v>
      </c>
      <c r="K360" s="13">
        <f t="shared" si="14"/>
        <v>27259.05</v>
      </c>
      <c r="L360" s="13">
        <v>0</v>
      </c>
      <c r="M360" s="13">
        <f t="shared" si="15"/>
        <v>27259.05</v>
      </c>
      <c r="N360" s="14" t="s">
        <v>44</v>
      </c>
    </row>
    <row r="361" spans="1:14" ht="15.75" customHeight="1" x14ac:dyDescent="0.25">
      <c r="A361" s="458"/>
      <c r="B361" s="22" t="s">
        <v>22</v>
      </c>
      <c r="C361" s="37">
        <v>28.12</v>
      </c>
      <c r="D361" s="37">
        <v>9.89</v>
      </c>
      <c r="E361" s="37">
        <f t="shared" si="12"/>
        <v>18.23</v>
      </c>
      <c r="F361" s="22" t="s">
        <v>26</v>
      </c>
      <c r="G361" s="22" t="s">
        <v>80</v>
      </c>
      <c r="H361" s="23">
        <v>1365</v>
      </c>
      <c r="I361" s="23">
        <f t="shared" si="13"/>
        <v>24883.95</v>
      </c>
      <c r="J361" s="23">
        <v>0</v>
      </c>
      <c r="K361" s="23">
        <f t="shared" si="14"/>
        <v>24883.95</v>
      </c>
      <c r="L361" s="23">
        <v>0</v>
      </c>
      <c r="M361" s="23">
        <f t="shared" si="15"/>
        <v>24883.95</v>
      </c>
      <c r="N361" s="24" t="s">
        <v>44</v>
      </c>
    </row>
    <row r="362" spans="1:14" ht="15.75" customHeight="1" x14ac:dyDescent="0.25">
      <c r="A362" s="458"/>
      <c r="B362" s="22" t="s">
        <v>51</v>
      </c>
      <c r="C362" s="37">
        <v>28.56</v>
      </c>
      <c r="D362" s="37">
        <v>9.7899999999999991</v>
      </c>
      <c r="E362" s="37">
        <f t="shared" si="12"/>
        <v>18.77</v>
      </c>
      <c r="F362" s="22" t="s">
        <v>26</v>
      </c>
      <c r="G362" s="22" t="s">
        <v>80</v>
      </c>
      <c r="H362" s="23">
        <v>1365</v>
      </c>
      <c r="I362" s="23">
        <f t="shared" si="13"/>
        <v>25621.05</v>
      </c>
      <c r="J362" s="23">
        <v>0</v>
      </c>
      <c r="K362" s="23">
        <f t="shared" si="14"/>
        <v>25621.05</v>
      </c>
      <c r="L362" s="23">
        <v>0</v>
      </c>
      <c r="M362" s="23">
        <f t="shared" si="15"/>
        <v>25621.05</v>
      </c>
      <c r="N362" s="24" t="s">
        <v>44</v>
      </c>
    </row>
    <row r="363" spans="1:14" ht="15.75" customHeight="1" x14ac:dyDescent="0.25">
      <c r="A363" s="458"/>
      <c r="B363" s="22" t="s">
        <v>51</v>
      </c>
      <c r="C363" s="37">
        <v>22.31</v>
      </c>
      <c r="D363" s="37">
        <v>9.7899999999999991</v>
      </c>
      <c r="E363" s="37">
        <f t="shared" si="12"/>
        <v>12.52</v>
      </c>
      <c r="F363" s="22" t="s">
        <v>23</v>
      </c>
      <c r="G363" s="22" t="s">
        <v>118</v>
      </c>
      <c r="H363" s="23">
        <v>1350</v>
      </c>
      <c r="I363" s="23">
        <f t="shared" si="13"/>
        <v>16902</v>
      </c>
      <c r="J363" s="23">
        <v>1000</v>
      </c>
      <c r="K363" s="23">
        <f t="shared" si="14"/>
        <v>17902</v>
      </c>
      <c r="L363" s="23">
        <v>2</v>
      </c>
      <c r="M363" s="23">
        <f t="shared" si="15"/>
        <v>17900</v>
      </c>
      <c r="N363" s="24" t="s">
        <v>25</v>
      </c>
    </row>
    <row r="364" spans="1:14" ht="15.75" customHeight="1" x14ac:dyDescent="0.25">
      <c r="A364" s="458"/>
      <c r="B364" s="22" t="s">
        <v>30</v>
      </c>
      <c r="C364" s="37">
        <v>27.9</v>
      </c>
      <c r="D364" s="37">
        <v>9.61</v>
      </c>
      <c r="E364" s="37">
        <f t="shared" si="12"/>
        <v>18.29</v>
      </c>
      <c r="F364" s="22" t="s">
        <v>26</v>
      </c>
      <c r="G364" s="22" t="s">
        <v>80</v>
      </c>
      <c r="H364" s="23">
        <v>1365</v>
      </c>
      <c r="I364" s="23">
        <f t="shared" si="13"/>
        <v>24965.85</v>
      </c>
      <c r="J364" s="23">
        <v>0</v>
      </c>
      <c r="K364" s="23">
        <f t="shared" si="14"/>
        <v>24965.85</v>
      </c>
      <c r="L364" s="23">
        <v>0</v>
      </c>
      <c r="M364" s="23">
        <f t="shared" si="15"/>
        <v>24965.85</v>
      </c>
      <c r="N364" s="24" t="s">
        <v>44</v>
      </c>
    </row>
    <row r="365" spans="1:14" ht="15.75" customHeight="1" x14ac:dyDescent="0.25">
      <c r="A365" s="458"/>
      <c r="B365" s="22" t="s">
        <v>67</v>
      </c>
      <c r="C365" s="37">
        <v>30.8</v>
      </c>
      <c r="D365" s="37">
        <v>9.64</v>
      </c>
      <c r="E365" s="37">
        <f t="shared" si="12"/>
        <v>21.16</v>
      </c>
      <c r="F365" s="22" t="s">
        <v>23</v>
      </c>
      <c r="G365" s="22" t="s">
        <v>117</v>
      </c>
      <c r="H365" s="23">
        <v>1250</v>
      </c>
      <c r="I365" s="23">
        <f t="shared" si="13"/>
        <v>26450</v>
      </c>
      <c r="J365" s="23">
        <v>0</v>
      </c>
      <c r="K365" s="23">
        <f t="shared" si="14"/>
        <v>26450</v>
      </c>
      <c r="L365" s="23">
        <v>0</v>
      </c>
      <c r="M365" s="23">
        <f t="shared" si="15"/>
        <v>26450</v>
      </c>
      <c r="N365" s="24" t="s">
        <v>44</v>
      </c>
    </row>
    <row r="366" spans="1:14" ht="15.75" customHeight="1" x14ac:dyDescent="0.25">
      <c r="A366" s="458"/>
      <c r="B366" s="22" t="s">
        <v>42</v>
      </c>
      <c r="C366" s="37">
        <v>29.8</v>
      </c>
      <c r="D366" s="37">
        <v>9.67</v>
      </c>
      <c r="E366" s="37">
        <f t="shared" si="12"/>
        <v>20.130000000000003</v>
      </c>
      <c r="F366" s="22" t="s">
        <v>23</v>
      </c>
      <c r="G366" s="22" t="s">
        <v>117</v>
      </c>
      <c r="H366" s="23">
        <v>1250</v>
      </c>
      <c r="I366" s="23">
        <f t="shared" si="13"/>
        <v>25162.500000000004</v>
      </c>
      <c r="J366" s="23">
        <v>0</v>
      </c>
      <c r="K366" s="23">
        <f t="shared" si="14"/>
        <v>25162.500000000004</v>
      </c>
      <c r="L366" s="23">
        <v>0</v>
      </c>
      <c r="M366" s="23">
        <f t="shared" si="15"/>
        <v>25162.500000000004</v>
      </c>
      <c r="N366" s="24" t="s">
        <v>44</v>
      </c>
    </row>
    <row r="367" spans="1:14" ht="15.75" customHeight="1" x14ac:dyDescent="0.25">
      <c r="A367" s="458"/>
      <c r="B367" s="22" t="s">
        <v>88</v>
      </c>
      <c r="C367" s="37">
        <v>33.159999999999997</v>
      </c>
      <c r="D367" s="37">
        <v>10.75</v>
      </c>
      <c r="E367" s="37">
        <f t="shared" si="12"/>
        <v>22.409999999999997</v>
      </c>
      <c r="F367" s="22" t="s">
        <v>35</v>
      </c>
      <c r="G367" s="22" t="s">
        <v>89</v>
      </c>
      <c r="H367" s="23">
        <v>1125</v>
      </c>
      <c r="I367" s="23">
        <f t="shared" si="13"/>
        <v>25211.249999999996</v>
      </c>
      <c r="J367" s="23">
        <v>0</v>
      </c>
      <c r="K367" s="23">
        <f t="shared" si="14"/>
        <v>25211.249999999996</v>
      </c>
      <c r="L367" s="23">
        <v>0</v>
      </c>
      <c r="M367" s="23">
        <f t="shared" si="15"/>
        <v>25211.249999999996</v>
      </c>
      <c r="N367" s="24" t="s">
        <v>44</v>
      </c>
    </row>
    <row r="368" spans="1:14" ht="15.75" customHeight="1" x14ac:dyDescent="0.25">
      <c r="A368" s="458"/>
      <c r="B368" s="22" t="s">
        <v>67</v>
      </c>
      <c r="C368" s="37">
        <v>29.08</v>
      </c>
      <c r="D368" s="37">
        <v>9.66</v>
      </c>
      <c r="E368" s="37">
        <f t="shared" si="12"/>
        <v>19.419999999999998</v>
      </c>
      <c r="F368" s="22" t="s">
        <v>23</v>
      </c>
      <c r="G368" s="22" t="s">
        <v>117</v>
      </c>
      <c r="H368" s="23">
        <v>1250</v>
      </c>
      <c r="I368" s="23">
        <f t="shared" si="13"/>
        <v>24274.999999999996</v>
      </c>
      <c r="J368" s="23">
        <v>0</v>
      </c>
      <c r="K368" s="23">
        <f t="shared" si="14"/>
        <v>24274.999999999996</v>
      </c>
      <c r="L368" s="23">
        <v>0</v>
      </c>
      <c r="M368" s="23">
        <f t="shared" si="15"/>
        <v>24274.999999999996</v>
      </c>
      <c r="N368" s="24" t="s">
        <v>44</v>
      </c>
    </row>
    <row r="369" spans="1:14" ht="15.75" customHeight="1" x14ac:dyDescent="0.25">
      <c r="A369" s="458"/>
      <c r="B369" s="22" t="s">
        <v>42</v>
      </c>
      <c r="C369" s="37">
        <v>29.59</v>
      </c>
      <c r="D369" s="37">
        <v>9.6999999999999993</v>
      </c>
      <c r="E369" s="37">
        <f t="shared" si="12"/>
        <v>19.89</v>
      </c>
      <c r="F369" s="22" t="s">
        <v>23</v>
      </c>
      <c r="G369" s="22" t="s">
        <v>117</v>
      </c>
      <c r="H369" s="23">
        <v>1250</v>
      </c>
      <c r="I369" s="23">
        <f t="shared" si="13"/>
        <v>24862.5</v>
      </c>
      <c r="J369" s="23">
        <v>0</v>
      </c>
      <c r="K369" s="23">
        <f t="shared" si="14"/>
        <v>24862.5</v>
      </c>
      <c r="L369" s="23">
        <v>0</v>
      </c>
      <c r="M369" s="23">
        <f t="shared" si="15"/>
        <v>24862.5</v>
      </c>
      <c r="N369" s="24" t="s">
        <v>44</v>
      </c>
    </row>
    <row r="370" spans="1:14" ht="15.75" customHeight="1" x14ac:dyDescent="0.25">
      <c r="A370" s="458"/>
      <c r="B370" s="22" t="s">
        <v>42</v>
      </c>
      <c r="C370" s="37">
        <v>28.29</v>
      </c>
      <c r="D370" s="37">
        <v>9.7100000000000009</v>
      </c>
      <c r="E370" s="37">
        <f t="shared" si="12"/>
        <v>18.579999999999998</v>
      </c>
      <c r="F370" s="22" t="s">
        <v>23</v>
      </c>
      <c r="G370" s="22" t="s">
        <v>117</v>
      </c>
      <c r="H370" s="23">
        <v>1250</v>
      </c>
      <c r="I370" s="23">
        <f t="shared" si="13"/>
        <v>23224.999999999996</v>
      </c>
      <c r="J370" s="23">
        <v>0</v>
      </c>
      <c r="K370" s="23">
        <f t="shared" si="14"/>
        <v>23224.999999999996</v>
      </c>
      <c r="L370" s="23">
        <v>0</v>
      </c>
      <c r="M370" s="23">
        <f t="shared" si="15"/>
        <v>23224.999999999996</v>
      </c>
      <c r="N370" s="24" t="s">
        <v>44</v>
      </c>
    </row>
    <row r="371" spans="1:14" ht="15.75" customHeight="1" x14ac:dyDescent="0.25">
      <c r="A371" s="458"/>
      <c r="B371" s="22" t="s">
        <v>67</v>
      </c>
      <c r="C371" s="37">
        <v>28.97</v>
      </c>
      <c r="D371" s="37">
        <v>9.66</v>
      </c>
      <c r="E371" s="37">
        <f t="shared" si="12"/>
        <v>19.309999999999999</v>
      </c>
      <c r="F371" s="22" t="s">
        <v>23</v>
      </c>
      <c r="G371" s="22" t="s">
        <v>117</v>
      </c>
      <c r="H371" s="23">
        <v>1250</v>
      </c>
      <c r="I371" s="23">
        <f t="shared" si="13"/>
        <v>24137.5</v>
      </c>
      <c r="J371" s="23">
        <v>0</v>
      </c>
      <c r="K371" s="23">
        <f t="shared" si="14"/>
        <v>24137.5</v>
      </c>
      <c r="L371" s="23">
        <v>0</v>
      </c>
      <c r="M371" s="23">
        <f t="shared" si="15"/>
        <v>24137.5</v>
      </c>
      <c r="N371" s="24" t="s">
        <v>44</v>
      </c>
    </row>
    <row r="372" spans="1:14" ht="15.75" customHeight="1" x14ac:dyDescent="0.25">
      <c r="A372" s="458"/>
      <c r="B372" s="22" t="s">
        <v>30</v>
      </c>
      <c r="C372" s="37">
        <v>29.01</v>
      </c>
      <c r="D372" s="37">
        <v>9.6300000000000008</v>
      </c>
      <c r="E372" s="37">
        <f t="shared" si="12"/>
        <v>19.380000000000003</v>
      </c>
      <c r="F372" s="22" t="s">
        <v>23</v>
      </c>
      <c r="G372" s="22" t="s">
        <v>117</v>
      </c>
      <c r="H372" s="23">
        <v>1250</v>
      </c>
      <c r="I372" s="23">
        <f t="shared" si="13"/>
        <v>24225.000000000004</v>
      </c>
      <c r="J372" s="23">
        <v>0</v>
      </c>
      <c r="K372" s="23">
        <f t="shared" si="14"/>
        <v>24225.000000000004</v>
      </c>
      <c r="L372" s="23">
        <v>0</v>
      </c>
      <c r="M372" s="23">
        <f t="shared" si="15"/>
        <v>24225.000000000004</v>
      </c>
      <c r="N372" s="24" t="s">
        <v>44</v>
      </c>
    </row>
    <row r="373" spans="1:14" ht="15.75" customHeight="1" x14ac:dyDescent="0.25">
      <c r="A373" s="458"/>
      <c r="B373" s="22" t="s">
        <v>115</v>
      </c>
      <c r="C373" s="37">
        <v>29.05</v>
      </c>
      <c r="D373" s="37">
        <v>9.7100000000000009</v>
      </c>
      <c r="E373" s="37">
        <f t="shared" si="12"/>
        <v>19.34</v>
      </c>
      <c r="F373" s="22" t="s">
        <v>23</v>
      </c>
      <c r="G373" s="22" t="s">
        <v>117</v>
      </c>
      <c r="H373" s="23">
        <v>1250</v>
      </c>
      <c r="I373" s="23">
        <f t="shared" si="13"/>
        <v>24175</v>
      </c>
      <c r="J373" s="23">
        <v>0</v>
      </c>
      <c r="K373" s="23">
        <f t="shared" si="14"/>
        <v>24175</v>
      </c>
      <c r="L373" s="23">
        <v>0</v>
      </c>
      <c r="M373" s="23">
        <f t="shared" si="15"/>
        <v>24175</v>
      </c>
      <c r="N373" s="24" t="s">
        <v>44</v>
      </c>
    </row>
    <row r="374" spans="1:14" ht="15.75" customHeight="1" x14ac:dyDescent="0.25">
      <c r="A374" s="458"/>
      <c r="B374" s="22" t="s">
        <v>22</v>
      </c>
      <c r="C374" s="37">
        <v>29.93</v>
      </c>
      <c r="D374" s="37">
        <v>9.91</v>
      </c>
      <c r="E374" s="37">
        <f t="shared" si="12"/>
        <v>20.02</v>
      </c>
      <c r="F374" s="22" t="s">
        <v>23</v>
      </c>
      <c r="G374" s="22" t="s">
        <v>117</v>
      </c>
      <c r="H374" s="23">
        <v>1250</v>
      </c>
      <c r="I374" s="23">
        <f t="shared" si="13"/>
        <v>25025</v>
      </c>
      <c r="J374" s="23">
        <v>0</v>
      </c>
      <c r="K374" s="23">
        <f t="shared" si="14"/>
        <v>25025</v>
      </c>
      <c r="L374" s="23">
        <v>0</v>
      </c>
      <c r="M374" s="23">
        <f t="shared" si="15"/>
        <v>25025</v>
      </c>
      <c r="N374" s="24" t="s">
        <v>44</v>
      </c>
    </row>
    <row r="375" spans="1:14" ht="15.75" customHeight="1" thickBot="1" x14ac:dyDescent="0.3">
      <c r="A375" s="459"/>
      <c r="B375" s="15" t="s">
        <v>51</v>
      </c>
      <c r="C375" s="52">
        <v>29.2</v>
      </c>
      <c r="D375" s="52">
        <v>9.84</v>
      </c>
      <c r="E375" s="52">
        <f t="shared" si="12"/>
        <v>19.36</v>
      </c>
      <c r="F375" s="15" t="s">
        <v>23</v>
      </c>
      <c r="G375" s="15" t="s">
        <v>117</v>
      </c>
      <c r="H375" s="16">
        <v>1250</v>
      </c>
      <c r="I375" s="16">
        <f t="shared" si="13"/>
        <v>24200</v>
      </c>
      <c r="J375" s="16">
        <v>0</v>
      </c>
      <c r="K375" s="16">
        <f t="shared" si="14"/>
        <v>24200</v>
      </c>
      <c r="L375" s="16">
        <v>0</v>
      </c>
      <c r="M375" s="16">
        <f t="shared" si="15"/>
        <v>24200</v>
      </c>
      <c r="N375" s="17" t="s">
        <v>44</v>
      </c>
    </row>
    <row r="376" spans="1:14" ht="15.75" customHeight="1" x14ac:dyDescent="0.25">
      <c r="A376" s="457">
        <v>45806</v>
      </c>
      <c r="B376" s="12" t="s">
        <v>49</v>
      </c>
      <c r="C376" s="36">
        <v>19.71</v>
      </c>
      <c r="D376" s="36">
        <v>9.6199999999999992</v>
      </c>
      <c r="E376" s="36">
        <f t="shared" si="12"/>
        <v>10.090000000000002</v>
      </c>
      <c r="F376" s="12" t="s">
        <v>23</v>
      </c>
      <c r="G376" s="12" t="s">
        <v>148</v>
      </c>
      <c r="H376" s="13">
        <v>1350</v>
      </c>
      <c r="I376" s="13">
        <f t="shared" si="13"/>
        <v>13621.500000000002</v>
      </c>
      <c r="J376" s="13">
        <v>1000</v>
      </c>
      <c r="K376" s="13">
        <f t="shared" si="14"/>
        <v>14621.500000000002</v>
      </c>
      <c r="L376" s="13">
        <v>21</v>
      </c>
      <c r="M376" s="13">
        <f t="shared" si="15"/>
        <v>14600.500000000002</v>
      </c>
      <c r="N376" s="14" t="s">
        <v>25</v>
      </c>
    </row>
    <row r="377" spans="1:14" ht="15.75" customHeight="1" x14ac:dyDescent="0.25">
      <c r="A377" s="458"/>
      <c r="B377" s="22" t="s">
        <v>112</v>
      </c>
      <c r="C377" s="37">
        <v>8.5399999999999991</v>
      </c>
      <c r="D377" s="37">
        <v>3.58</v>
      </c>
      <c r="E377" s="37">
        <f t="shared" si="12"/>
        <v>4.9599999999999991</v>
      </c>
      <c r="F377" s="22" t="s">
        <v>23</v>
      </c>
      <c r="G377" s="22" t="s">
        <v>149</v>
      </c>
      <c r="H377" s="23">
        <v>1350</v>
      </c>
      <c r="I377" s="23">
        <f t="shared" si="13"/>
        <v>6695.9999999999991</v>
      </c>
      <c r="J377" s="23">
        <v>0</v>
      </c>
      <c r="K377" s="23">
        <f t="shared" si="14"/>
        <v>6695.9999999999991</v>
      </c>
      <c r="L377" s="23">
        <v>-4</v>
      </c>
      <c r="M377" s="23">
        <f t="shared" si="15"/>
        <v>6699.9999999999991</v>
      </c>
      <c r="N377" s="24" t="s">
        <v>25</v>
      </c>
    </row>
    <row r="378" spans="1:14" ht="15.75" customHeight="1" thickBot="1" x14ac:dyDescent="0.3">
      <c r="A378" s="459"/>
      <c r="B378" s="15" t="s">
        <v>88</v>
      </c>
      <c r="C378" s="52">
        <v>29.03</v>
      </c>
      <c r="D378" s="52">
        <v>10.72</v>
      </c>
      <c r="E378" s="52">
        <f t="shared" si="12"/>
        <v>18.310000000000002</v>
      </c>
      <c r="F378" s="15" t="s">
        <v>23</v>
      </c>
      <c r="G378" s="15" t="s">
        <v>89</v>
      </c>
      <c r="H378" s="16">
        <v>1250</v>
      </c>
      <c r="I378" s="16">
        <f t="shared" si="13"/>
        <v>22887.500000000004</v>
      </c>
      <c r="J378" s="16">
        <v>0</v>
      </c>
      <c r="K378" s="16">
        <f t="shared" si="14"/>
        <v>22887.500000000004</v>
      </c>
      <c r="L378" s="16">
        <v>0</v>
      </c>
      <c r="M378" s="16">
        <f t="shared" si="15"/>
        <v>22887.500000000004</v>
      </c>
      <c r="N378" s="17" t="s">
        <v>44</v>
      </c>
    </row>
    <row r="379" spans="1:14" ht="15.75" customHeight="1" x14ac:dyDescent="0.25">
      <c r="A379" s="457">
        <v>45807</v>
      </c>
      <c r="B379" s="12" t="s">
        <v>51</v>
      </c>
      <c r="C379" s="36">
        <v>28.38</v>
      </c>
      <c r="D379" s="36">
        <v>9.81</v>
      </c>
      <c r="E379" s="36">
        <f t="shared" si="12"/>
        <v>18.57</v>
      </c>
      <c r="F379" s="12" t="s">
        <v>26</v>
      </c>
      <c r="G379" s="12" t="s">
        <v>95</v>
      </c>
      <c r="H379" s="13">
        <v>1225</v>
      </c>
      <c r="I379" s="13">
        <f t="shared" si="13"/>
        <v>22748.25</v>
      </c>
      <c r="J379" s="13">
        <v>0</v>
      </c>
      <c r="K379" s="13">
        <f t="shared" si="14"/>
        <v>22748.25</v>
      </c>
      <c r="L379" s="13">
        <v>0</v>
      </c>
      <c r="M379" s="13">
        <f t="shared" si="15"/>
        <v>22748.25</v>
      </c>
      <c r="N379" s="14" t="s">
        <v>44</v>
      </c>
    </row>
    <row r="380" spans="1:14" ht="15.75" customHeight="1" x14ac:dyDescent="0.25">
      <c r="A380" s="458"/>
      <c r="B380" s="22" t="s">
        <v>22</v>
      </c>
      <c r="C380" s="37">
        <v>28.69</v>
      </c>
      <c r="D380" s="37">
        <v>9.92</v>
      </c>
      <c r="E380" s="37">
        <f t="shared" si="12"/>
        <v>18.770000000000003</v>
      </c>
      <c r="F380" s="22" t="s">
        <v>26</v>
      </c>
      <c r="G380" s="22" t="s">
        <v>95</v>
      </c>
      <c r="H380" s="23">
        <v>1225</v>
      </c>
      <c r="I380" s="23">
        <f t="shared" si="13"/>
        <v>22993.250000000004</v>
      </c>
      <c r="J380" s="23">
        <v>0</v>
      </c>
      <c r="K380" s="23">
        <f t="shared" si="14"/>
        <v>22993.250000000004</v>
      </c>
      <c r="L380" s="23">
        <v>0</v>
      </c>
      <c r="M380" s="23">
        <f t="shared" si="15"/>
        <v>22993.250000000004</v>
      </c>
      <c r="N380" s="24" t="s">
        <v>44</v>
      </c>
    </row>
    <row r="381" spans="1:14" ht="15.75" customHeight="1" x14ac:dyDescent="0.25">
      <c r="A381" s="458"/>
      <c r="B381" s="22" t="s">
        <v>115</v>
      </c>
      <c r="C381" s="37">
        <v>29.02</v>
      </c>
      <c r="D381" s="37">
        <v>9.7100000000000009</v>
      </c>
      <c r="E381" s="37">
        <f t="shared" si="12"/>
        <v>19.309999999999999</v>
      </c>
      <c r="F381" s="22" t="s">
        <v>26</v>
      </c>
      <c r="G381" s="22" t="s">
        <v>95</v>
      </c>
      <c r="H381" s="23">
        <v>1225</v>
      </c>
      <c r="I381" s="23">
        <f t="shared" si="13"/>
        <v>23654.75</v>
      </c>
      <c r="J381" s="23">
        <v>0</v>
      </c>
      <c r="K381" s="23">
        <f t="shared" si="14"/>
        <v>23654.75</v>
      </c>
      <c r="L381" s="23">
        <v>0</v>
      </c>
      <c r="M381" s="23">
        <f t="shared" si="15"/>
        <v>23654.75</v>
      </c>
      <c r="N381" s="24" t="s">
        <v>44</v>
      </c>
    </row>
    <row r="382" spans="1:14" ht="15.75" customHeight="1" x14ac:dyDescent="0.25">
      <c r="A382" s="458"/>
      <c r="B382" s="22" t="s">
        <v>150</v>
      </c>
      <c r="C382" s="37">
        <v>6.6</v>
      </c>
      <c r="D382" s="37">
        <v>2.89</v>
      </c>
      <c r="E382" s="37">
        <f t="shared" si="12"/>
        <v>3.7099999999999995</v>
      </c>
      <c r="F382" s="22" t="s">
        <v>23</v>
      </c>
      <c r="G382" s="22" t="s">
        <v>151</v>
      </c>
      <c r="H382" s="23">
        <v>1350</v>
      </c>
      <c r="I382" s="23">
        <f t="shared" si="13"/>
        <v>5008.4999999999991</v>
      </c>
      <c r="J382" s="23">
        <v>0</v>
      </c>
      <c r="K382" s="23">
        <f t="shared" si="14"/>
        <v>5008.4999999999991</v>
      </c>
      <c r="L382" s="23">
        <v>8.5</v>
      </c>
      <c r="M382" s="23">
        <f t="shared" si="15"/>
        <v>4999.9999999999991</v>
      </c>
      <c r="N382" s="24" t="s">
        <v>20</v>
      </c>
    </row>
    <row r="383" spans="1:14" ht="15.75" customHeight="1" thickBot="1" x14ac:dyDescent="0.3">
      <c r="A383" s="459"/>
      <c r="B383" s="15" t="s">
        <v>49</v>
      </c>
      <c r="C383" s="52">
        <v>32.630000000000003</v>
      </c>
      <c r="D383" s="52">
        <v>9.56</v>
      </c>
      <c r="E383" s="52">
        <f t="shared" si="12"/>
        <v>23.07</v>
      </c>
      <c r="F383" s="15" t="s">
        <v>38</v>
      </c>
      <c r="G383" s="15" t="s">
        <v>94</v>
      </c>
      <c r="H383" s="16">
        <v>500</v>
      </c>
      <c r="I383" s="16">
        <f t="shared" si="13"/>
        <v>11535</v>
      </c>
      <c r="J383" s="16">
        <v>1000</v>
      </c>
      <c r="K383" s="16">
        <f t="shared" si="14"/>
        <v>12535</v>
      </c>
      <c r="L383" s="16">
        <v>35</v>
      </c>
      <c r="M383" s="16">
        <f t="shared" si="15"/>
        <v>12500</v>
      </c>
      <c r="N383" s="17" t="s">
        <v>25</v>
      </c>
    </row>
    <row r="384" spans="1:14" ht="15.75" customHeight="1" x14ac:dyDescent="0.25">
      <c r="A384" s="457">
        <v>45808</v>
      </c>
      <c r="B384" s="12" t="s">
        <v>67</v>
      </c>
      <c r="C384" s="36">
        <v>29.29</v>
      </c>
      <c r="D384" s="36">
        <v>9.66</v>
      </c>
      <c r="E384" s="36">
        <f t="shared" si="12"/>
        <v>19.63</v>
      </c>
      <c r="F384" s="12" t="s">
        <v>26</v>
      </c>
      <c r="G384" s="12" t="s">
        <v>80</v>
      </c>
      <c r="H384" s="13">
        <v>1365</v>
      </c>
      <c r="I384" s="13">
        <f t="shared" si="13"/>
        <v>26794.949999999997</v>
      </c>
      <c r="J384" s="13">
        <v>0</v>
      </c>
      <c r="K384" s="13">
        <f t="shared" si="14"/>
        <v>26794.949999999997</v>
      </c>
      <c r="L384" s="13">
        <v>0</v>
      </c>
      <c r="M384" s="13">
        <f t="shared" si="15"/>
        <v>26794.949999999997</v>
      </c>
      <c r="N384" s="14" t="s">
        <v>44</v>
      </c>
    </row>
    <row r="385" spans="1:17" ht="15.75" customHeight="1" x14ac:dyDescent="0.25">
      <c r="A385" s="458"/>
      <c r="B385" s="22" t="s">
        <v>115</v>
      </c>
      <c r="C385" s="37">
        <v>28.41</v>
      </c>
      <c r="D385" s="37">
        <v>9.8000000000000007</v>
      </c>
      <c r="E385" s="37">
        <f t="shared" si="12"/>
        <v>18.61</v>
      </c>
      <c r="F385" s="22" t="s">
        <v>26</v>
      </c>
      <c r="G385" s="22" t="s">
        <v>80</v>
      </c>
      <c r="H385" s="23">
        <v>1365</v>
      </c>
      <c r="I385" s="23">
        <f t="shared" si="13"/>
        <v>25402.649999999998</v>
      </c>
      <c r="J385" s="23">
        <v>0</v>
      </c>
      <c r="K385" s="23">
        <f t="shared" si="14"/>
        <v>25402.649999999998</v>
      </c>
      <c r="L385" s="23">
        <v>0</v>
      </c>
      <c r="M385" s="23">
        <f t="shared" si="15"/>
        <v>25402.649999999998</v>
      </c>
      <c r="N385" s="24" t="s">
        <v>44</v>
      </c>
    </row>
    <row r="386" spans="1:17" ht="15.75" customHeight="1" x14ac:dyDescent="0.25">
      <c r="A386" s="458"/>
      <c r="B386" s="22" t="s">
        <v>22</v>
      </c>
      <c r="C386" s="37">
        <v>28.38</v>
      </c>
      <c r="D386" s="37">
        <v>9.9499999999999993</v>
      </c>
      <c r="E386" s="37">
        <f t="shared" si="12"/>
        <v>18.43</v>
      </c>
      <c r="F386" s="22" t="s">
        <v>26</v>
      </c>
      <c r="G386" s="22" t="s">
        <v>80</v>
      </c>
      <c r="H386" s="23">
        <v>1365</v>
      </c>
      <c r="I386" s="23">
        <f t="shared" si="13"/>
        <v>25156.95</v>
      </c>
      <c r="J386" s="23">
        <v>0</v>
      </c>
      <c r="K386" s="23">
        <f t="shared" si="14"/>
        <v>25156.95</v>
      </c>
      <c r="L386" s="23">
        <v>0</v>
      </c>
      <c r="M386" s="23">
        <f t="shared" si="15"/>
        <v>25156.95</v>
      </c>
      <c r="N386" s="24" t="s">
        <v>44</v>
      </c>
    </row>
    <row r="387" spans="1:17" ht="15.75" customHeight="1" x14ac:dyDescent="0.25">
      <c r="A387" s="458"/>
      <c r="B387" s="22" t="s">
        <v>88</v>
      </c>
      <c r="C387" s="37">
        <v>30.34</v>
      </c>
      <c r="D387" s="37">
        <v>10.4</v>
      </c>
      <c r="E387" s="37">
        <f t="shared" si="12"/>
        <v>19.939999999999998</v>
      </c>
      <c r="F387" s="22" t="s">
        <v>23</v>
      </c>
      <c r="G387" s="22" t="s">
        <v>89</v>
      </c>
      <c r="H387" s="23">
        <v>1250</v>
      </c>
      <c r="I387" s="23">
        <f t="shared" si="13"/>
        <v>24924.999999999996</v>
      </c>
      <c r="J387" s="23">
        <v>0</v>
      </c>
      <c r="K387" s="23">
        <f t="shared" si="14"/>
        <v>24924.999999999996</v>
      </c>
      <c r="L387" s="23">
        <v>0</v>
      </c>
      <c r="M387" s="23">
        <f t="shared" si="15"/>
        <v>24924.999999999996</v>
      </c>
      <c r="N387" s="24" t="s">
        <v>44</v>
      </c>
    </row>
    <row r="388" spans="1:17" ht="15.75" customHeight="1" thickBot="1" x14ac:dyDescent="0.3">
      <c r="A388" s="459"/>
      <c r="B388" s="15" t="s">
        <v>58</v>
      </c>
      <c r="C388" s="52">
        <v>28.5</v>
      </c>
      <c r="D388" s="52">
        <v>9.85</v>
      </c>
      <c r="E388" s="52">
        <f t="shared" si="12"/>
        <v>18.649999999999999</v>
      </c>
      <c r="F388" s="15" t="s">
        <v>26</v>
      </c>
      <c r="G388" s="15" t="s">
        <v>80</v>
      </c>
      <c r="H388" s="16">
        <v>1365</v>
      </c>
      <c r="I388" s="16">
        <f t="shared" si="13"/>
        <v>25457.249999999996</v>
      </c>
      <c r="J388" s="16">
        <v>0</v>
      </c>
      <c r="K388" s="16">
        <f t="shared" si="14"/>
        <v>25457.249999999996</v>
      </c>
      <c r="L388" s="16">
        <v>0</v>
      </c>
      <c r="M388" s="16">
        <f t="shared" si="15"/>
        <v>25457.249999999996</v>
      </c>
      <c r="N388" s="17" t="s">
        <v>44</v>
      </c>
    </row>
    <row r="389" spans="1:17" ht="15.75" customHeight="1" thickBot="1" x14ac:dyDescent="0.3">
      <c r="A389" s="461" t="s">
        <v>83</v>
      </c>
      <c r="B389" s="462"/>
      <c r="C389" s="40">
        <f t="shared" ref="C389:E389" si="16">SUM(C89:C388)</f>
        <v>8196.5099999999984</v>
      </c>
      <c r="D389" s="40">
        <f t="shared" si="16"/>
        <v>2814.6799999999985</v>
      </c>
      <c r="E389" s="40">
        <f t="shared" si="16"/>
        <v>5381.8300000000036</v>
      </c>
      <c r="F389" s="41"/>
      <c r="G389" s="41"/>
      <c r="H389" s="42">
        <f t="shared" ref="H389:M389" si="17">SUM(H89:H388)</f>
        <v>322894.45999999996</v>
      </c>
      <c r="I389" s="42">
        <f t="shared" si="17"/>
        <v>5677502.0310000004</v>
      </c>
      <c r="J389" s="42">
        <f t="shared" si="17"/>
        <v>29500</v>
      </c>
      <c r="K389" s="42">
        <f t="shared" si="17"/>
        <v>5707002.0310000004</v>
      </c>
      <c r="L389" s="42">
        <f t="shared" si="17"/>
        <v>1004.63</v>
      </c>
      <c r="M389" s="42">
        <f t="shared" si="17"/>
        <v>5705997.4010000005</v>
      </c>
      <c r="N389" s="43"/>
    </row>
    <row r="390" spans="1:17" ht="15.75" customHeight="1" x14ac:dyDescent="0.25">
      <c r="C390" s="53"/>
      <c r="D390" s="53"/>
      <c r="E390" s="53"/>
      <c r="H390" s="54"/>
      <c r="J390" s="54"/>
      <c r="L390" s="54"/>
    </row>
    <row r="391" spans="1:17" ht="15.75" customHeight="1" x14ac:dyDescent="0.25">
      <c r="C391" s="53"/>
      <c r="D391" s="53"/>
      <c r="E391" s="53"/>
      <c r="H391" s="54"/>
      <c r="J391" s="54"/>
      <c r="L391" s="54"/>
    </row>
    <row r="392" spans="1:17" ht="15.75" customHeight="1" x14ac:dyDescent="0.25">
      <c r="C392" s="53"/>
      <c r="D392" s="53"/>
      <c r="E392" s="53"/>
      <c r="H392" s="54"/>
      <c r="J392" s="54"/>
      <c r="L392" s="54"/>
    </row>
    <row r="393" spans="1:17" ht="15.75" customHeight="1" x14ac:dyDescent="0.25">
      <c r="C393" s="53"/>
      <c r="D393" s="53"/>
      <c r="E393" s="53"/>
      <c r="H393" s="54"/>
      <c r="J393" s="54"/>
      <c r="L393" s="54"/>
    </row>
    <row r="394" spans="1:17" ht="15.75" customHeight="1" x14ac:dyDescent="0.25">
      <c r="A394" s="463" t="s">
        <v>152</v>
      </c>
      <c r="B394" s="464"/>
      <c r="C394" s="464"/>
      <c r="D394" s="464"/>
      <c r="E394" s="464"/>
      <c r="F394" s="464"/>
      <c r="G394" s="464"/>
      <c r="H394" s="464"/>
      <c r="I394" s="464"/>
      <c r="J394" s="464"/>
      <c r="K394" s="464"/>
      <c r="L394" s="464"/>
      <c r="M394" s="464"/>
      <c r="N394" s="465"/>
    </row>
    <row r="395" spans="1:17" ht="15.75" customHeight="1" x14ac:dyDescent="0.25">
      <c r="A395" s="47" t="s">
        <v>1</v>
      </c>
      <c r="B395" s="48" t="s">
        <v>2</v>
      </c>
      <c r="C395" s="49" t="s">
        <v>3</v>
      </c>
      <c r="D395" s="49" t="s">
        <v>4</v>
      </c>
      <c r="E395" s="49" t="s">
        <v>5</v>
      </c>
      <c r="F395" s="48" t="s">
        <v>6</v>
      </c>
      <c r="G395" s="48" t="s">
        <v>7</v>
      </c>
      <c r="H395" s="50" t="s">
        <v>8</v>
      </c>
      <c r="I395" s="48" t="s">
        <v>9</v>
      </c>
      <c r="J395" s="50" t="s">
        <v>10</v>
      </c>
      <c r="K395" s="48" t="s">
        <v>11</v>
      </c>
      <c r="L395" s="50" t="s">
        <v>12</v>
      </c>
      <c r="M395" s="48" t="s">
        <v>13</v>
      </c>
      <c r="N395" s="51" t="s">
        <v>14</v>
      </c>
      <c r="P395" s="1" t="s">
        <v>15</v>
      </c>
      <c r="Q395" s="3" t="s">
        <v>16</v>
      </c>
    </row>
    <row r="396" spans="1:17" ht="15.75" customHeight="1" x14ac:dyDescent="0.25">
      <c r="A396" s="457">
        <v>45809</v>
      </c>
      <c r="B396" s="12" t="s">
        <v>67</v>
      </c>
      <c r="C396" s="36">
        <v>28.93</v>
      </c>
      <c r="D396" s="36">
        <v>9.67</v>
      </c>
      <c r="E396" s="36">
        <f t="shared" ref="E396:E416" si="18">C396-D396</f>
        <v>19.259999999999998</v>
      </c>
      <c r="F396" s="12" t="s">
        <v>38</v>
      </c>
      <c r="G396" s="12" t="s">
        <v>153</v>
      </c>
      <c r="H396" s="55">
        <v>500</v>
      </c>
      <c r="I396" s="55">
        <f t="shared" ref="I396:I540" si="19">E396*H396</f>
        <v>9629.9999999999982</v>
      </c>
      <c r="J396" s="55">
        <v>0</v>
      </c>
      <c r="K396" s="55">
        <f t="shared" ref="K396:K540" si="20">I396+J396</f>
        <v>9629.9999999999982</v>
      </c>
      <c r="L396" s="55">
        <v>0</v>
      </c>
      <c r="M396" s="55">
        <f t="shared" ref="M396:M620" si="21">K396-L396</f>
        <v>9629.9999999999982</v>
      </c>
      <c r="N396" s="14" t="s">
        <v>44</v>
      </c>
      <c r="P396" s="8" t="s">
        <v>21</v>
      </c>
      <c r="Q396" s="9">
        <v>1294.1199999999999</v>
      </c>
    </row>
    <row r="397" spans="1:17" ht="15.75" customHeight="1" x14ac:dyDescent="0.25">
      <c r="A397" s="458"/>
      <c r="B397" s="22" t="s">
        <v>58</v>
      </c>
      <c r="C397" s="37">
        <v>29.13</v>
      </c>
      <c r="D397" s="37">
        <v>9.8000000000000007</v>
      </c>
      <c r="E397" s="37">
        <f t="shared" si="18"/>
        <v>19.329999999999998</v>
      </c>
      <c r="F397" s="22" t="s">
        <v>38</v>
      </c>
      <c r="G397" s="22" t="s">
        <v>153</v>
      </c>
      <c r="H397" s="56">
        <v>500</v>
      </c>
      <c r="I397" s="56">
        <f t="shared" si="19"/>
        <v>9665</v>
      </c>
      <c r="J397" s="56">
        <v>0</v>
      </c>
      <c r="K397" s="56">
        <f t="shared" si="20"/>
        <v>9665</v>
      </c>
      <c r="L397" s="56">
        <v>0</v>
      </c>
      <c r="M397" s="56">
        <f t="shared" si="21"/>
        <v>9665</v>
      </c>
      <c r="N397" s="24" t="s">
        <v>44</v>
      </c>
      <c r="P397" s="10" t="s">
        <v>26</v>
      </c>
      <c r="Q397" s="11">
        <v>1028.55</v>
      </c>
    </row>
    <row r="398" spans="1:17" ht="15.75" customHeight="1" x14ac:dyDescent="0.25">
      <c r="A398" s="458"/>
      <c r="B398" s="22" t="s">
        <v>42</v>
      </c>
      <c r="C398" s="37">
        <v>32.22</v>
      </c>
      <c r="D398" s="37">
        <v>9.6999999999999993</v>
      </c>
      <c r="E398" s="37">
        <f t="shared" si="18"/>
        <v>22.52</v>
      </c>
      <c r="F398" s="22" t="s">
        <v>38</v>
      </c>
      <c r="G398" s="22" t="s">
        <v>153</v>
      </c>
      <c r="H398" s="56">
        <v>500</v>
      </c>
      <c r="I398" s="56">
        <f t="shared" si="19"/>
        <v>11260</v>
      </c>
      <c r="J398" s="56">
        <v>0</v>
      </c>
      <c r="K398" s="56">
        <f t="shared" si="20"/>
        <v>11260</v>
      </c>
      <c r="L398" s="56">
        <v>0</v>
      </c>
      <c r="M398" s="56">
        <f t="shared" si="21"/>
        <v>11260</v>
      </c>
      <c r="N398" s="24" t="s">
        <v>44</v>
      </c>
      <c r="P398" s="10" t="s">
        <v>29</v>
      </c>
      <c r="Q398" s="11">
        <v>0</v>
      </c>
    </row>
    <row r="399" spans="1:17" ht="15.75" customHeight="1" x14ac:dyDescent="0.25">
      <c r="A399" s="458"/>
      <c r="B399" s="22" t="s">
        <v>22</v>
      </c>
      <c r="C399" s="37">
        <v>31.58</v>
      </c>
      <c r="D399" s="37">
        <v>9.92</v>
      </c>
      <c r="E399" s="37">
        <f t="shared" si="18"/>
        <v>21.659999999999997</v>
      </c>
      <c r="F399" s="22" t="s">
        <v>38</v>
      </c>
      <c r="G399" s="22" t="s">
        <v>153</v>
      </c>
      <c r="H399" s="56">
        <v>500</v>
      </c>
      <c r="I399" s="56">
        <f t="shared" si="19"/>
        <v>10829.999999999998</v>
      </c>
      <c r="J399" s="56">
        <v>0</v>
      </c>
      <c r="K399" s="56">
        <f t="shared" si="20"/>
        <v>10829.999999999998</v>
      </c>
      <c r="L399" s="56">
        <v>0</v>
      </c>
      <c r="M399" s="56">
        <f t="shared" si="21"/>
        <v>10829.999999999998</v>
      </c>
      <c r="N399" s="24" t="s">
        <v>44</v>
      </c>
      <c r="P399" s="10" t="s">
        <v>18</v>
      </c>
      <c r="Q399" s="11">
        <v>24.64</v>
      </c>
    </row>
    <row r="400" spans="1:17" ht="15.75" customHeight="1" x14ac:dyDescent="0.25">
      <c r="A400" s="458"/>
      <c r="B400" s="22" t="s">
        <v>51</v>
      </c>
      <c r="C400" s="37">
        <v>28.46</v>
      </c>
      <c r="D400" s="37">
        <v>9.8699999999999992</v>
      </c>
      <c r="E400" s="37">
        <f t="shared" si="18"/>
        <v>18.590000000000003</v>
      </c>
      <c r="F400" s="22" t="s">
        <v>38</v>
      </c>
      <c r="G400" s="22" t="s">
        <v>153</v>
      </c>
      <c r="H400" s="56">
        <v>500</v>
      </c>
      <c r="I400" s="56">
        <f t="shared" si="19"/>
        <v>9295.0000000000018</v>
      </c>
      <c r="J400" s="56">
        <v>0</v>
      </c>
      <c r="K400" s="56">
        <f t="shared" si="20"/>
        <v>9295.0000000000018</v>
      </c>
      <c r="L400" s="56">
        <v>0</v>
      </c>
      <c r="M400" s="56">
        <f t="shared" si="21"/>
        <v>9295.0000000000018</v>
      </c>
      <c r="N400" s="24" t="s">
        <v>44</v>
      </c>
      <c r="P400" s="10" t="s">
        <v>23</v>
      </c>
      <c r="Q400" s="11">
        <v>771.74</v>
      </c>
    </row>
    <row r="401" spans="1:17" ht="15.75" customHeight="1" x14ac:dyDescent="0.25">
      <c r="A401" s="458"/>
      <c r="B401" s="22" t="s">
        <v>67</v>
      </c>
      <c r="C401" s="37">
        <v>31.51</v>
      </c>
      <c r="D401" s="37">
        <v>9.65</v>
      </c>
      <c r="E401" s="37">
        <f t="shared" si="18"/>
        <v>21.86</v>
      </c>
      <c r="F401" s="22" t="s">
        <v>38</v>
      </c>
      <c r="G401" s="22" t="s">
        <v>153</v>
      </c>
      <c r="H401" s="56">
        <v>500</v>
      </c>
      <c r="I401" s="56">
        <f t="shared" si="19"/>
        <v>10930</v>
      </c>
      <c r="J401" s="56">
        <v>0</v>
      </c>
      <c r="K401" s="56">
        <f t="shared" si="20"/>
        <v>10930</v>
      </c>
      <c r="L401" s="56">
        <v>0</v>
      </c>
      <c r="M401" s="56">
        <f t="shared" si="21"/>
        <v>10930</v>
      </c>
      <c r="N401" s="24" t="s">
        <v>44</v>
      </c>
      <c r="P401" s="18" t="s">
        <v>35</v>
      </c>
      <c r="Q401" s="19">
        <v>1019.52</v>
      </c>
    </row>
    <row r="402" spans="1:17" ht="15.75" customHeight="1" x14ac:dyDescent="0.25">
      <c r="A402" s="458"/>
      <c r="B402" s="22" t="s">
        <v>58</v>
      </c>
      <c r="C402" s="37">
        <v>31.01</v>
      </c>
      <c r="D402" s="37">
        <v>9.7899999999999991</v>
      </c>
      <c r="E402" s="37">
        <f t="shared" si="18"/>
        <v>21.220000000000002</v>
      </c>
      <c r="F402" s="22" t="s">
        <v>38</v>
      </c>
      <c r="G402" s="22" t="s">
        <v>153</v>
      </c>
      <c r="H402" s="56">
        <v>500</v>
      </c>
      <c r="I402" s="56">
        <f t="shared" si="19"/>
        <v>10610.000000000002</v>
      </c>
      <c r="J402" s="56">
        <v>0</v>
      </c>
      <c r="K402" s="56">
        <f t="shared" si="20"/>
        <v>10610.000000000002</v>
      </c>
      <c r="L402" s="56">
        <v>0</v>
      </c>
      <c r="M402" s="56">
        <f t="shared" si="21"/>
        <v>10610.000000000002</v>
      </c>
      <c r="N402" s="24" t="s">
        <v>44</v>
      </c>
    </row>
    <row r="403" spans="1:17" ht="15.75" customHeight="1" x14ac:dyDescent="0.25">
      <c r="A403" s="458"/>
      <c r="B403" s="22" t="s">
        <v>22</v>
      </c>
      <c r="C403" s="37">
        <v>31.65</v>
      </c>
      <c r="D403" s="37">
        <v>9.9</v>
      </c>
      <c r="E403" s="37">
        <f t="shared" si="18"/>
        <v>21.75</v>
      </c>
      <c r="F403" s="22" t="s">
        <v>38</v>
      </c>
      <c r="G403" s="22" t="s">
        <v>153</v>
      </c>
      <c r="H403" s="56">
        <v>500</v>
      </c>
      <c r="I403" s="56">
        <f t="shared" si="19"/>
        <v>10875</v>
      </c>
      <c r="J403" s="56">
        <v>0</v>
      </c>
      <c r="K403" s="56">
        <f t="shared" si="20"/>
        <v>10875</v>
      </c>
      <c r="L403" s="56">
        <v>0</v>
      </c>
      <c r="M403" s="56">
        <f t="shared" si="21"/>
        <v>10875</v>
      </c>
      <c r="N403" s="24" t="s">
        <v>44</v>
      </c>
    </row>
    <row r="404" spans="1:17" ht="15.75" customHeight="1" x14ac:dyDescent="0.25">
      <c r="A404" s="458"/>
      <c r="B404" s="22" t="s">
        <v>42</v>
      </c>
      <c r="C404" s="37">
        <v>32.78</v>
      </c>
      <c r="D404" s="37">
        <v>9.6999999999999993</v>
      </c>
      <c r="E404" s="37">
        <f t="shared" si="18"/>
        <v>23.080000000000002</v>
      </c>
      <c r="F404" s="22" t="s">
        <v>38</v>
      </c>
      <c r="G404" s="22" t="s">
        <v>153</v>
      </c>
      <c r="H404" s="56">
        <v>500</v>
      </c>
      <c r="I404" s="56">
        <f t="shared" si="19"/>
        <v>11540.000000000002</v>
      </c>
      <c r="J404" s="56">
        <v>0</v>
      </c>
      <c r="K404" s="56">
        <f t="shared" si="20"/>
        <v>11540.000000000002</v>
      </c>
      <c r="L404" s="56">
        <v>0</v>
      </c>
      <c r="M404" s="56">
        <f t="shared" si="21"/>
        <v>11540.000000000002</v>
      </c>
      <c r="N404" s="24" t="s">
        <v>44</v>
      </c>
    </row>
    <row r="405" spans="1:17" ht="15.75" customHeight="1" x14ac:dyDescent="0.25">
      <c r="A405" s="458"/>
      <c r="B405" s="22" t="s">
        <v>49</v>
      </c>
      <c r="C405" s="37">
        <v>25.44</v>
      </c>
      <c r="D405" s="37">
        <v>9.56</v>
      </c>
      <c r="E405" s="37">
        <f t="shared" si="18"/>
        <v>15.88</v>
      </c>
      <c r="F405" s="22" t="s">
        <v>23</v>
      </c>
      <c r="G405" s="22" t="s">
        <v>154</v>
      </c>
      <c r="H405" s="56">
        <v>1300</v>
      </c>
      <c r="I405" s="56">
        <f t="shared" si="19"/>
        <v>20644</v>
      </c>
      <c r="J405" s="56">
        <v>500</v>
      </c>
      <c r="K405" s="56">
        <f t="shared" si="20"/>
        <v>21144</v>
      </c>
      <c r="L405" s="56">
        <v>0</v>
      </c>
      <c r="M405" s="56">
        <f t="shared" si="21"/>
        <v>21144</v>
      </c>
      <c r="N405" s="24" t="s">
        <v>25</v>
      </c>
    </row>
    <row r="406" spans="1:17" ht="15.75" customHeight="1" x14ac:dyDescent="0.25">
      <c r="A406" s="458"/>
      <c r="B406" s="22" t="s">
        <v>51</v>
      </c>
      <c r="C406" s="37">
        <v>29.16</v>
      </c>
      <c r="D406" s="37">
        <v>9.8699999999999992</v>
      </c>
      <c r="E406" s="37">
        <f t="shared" si="18"/>
        <v>19.29</v>
      </c>
      <c r="F406" s="22" t="s">
        <v>38</v>
      </c>
      <c r="G406" s="22" t="s">
        <v>153</v>
      </c>
      <c r="H406" s="56">
        <v>500</v>
      </c>
      <c r="I406" s="56">
        <f t="shared" si="19"/>
        <v>9645</v>
      </c>
      <c r="J406" s="56">
        <v>0</v>
      </c>
      <c r="K406" s="56">
        <f t="shared" si="20"/>
        <v>9645</v>
      </c>
      <c r="L406" s="56">
        <v>0</v>
      </c>
      <c r="M406" s="56">
        <f t="shared" si="21"/>
        <v>9645</v>
      </c>
      <c r="N406" s="24" t="s">
        <v>44</v>
      </c>
    </row>
    <row r="407" spans="1:17" ht="15.75" customHeight="1" x14ac:dyDescent="0.25">
      <c r="A407" s="458"/>
      <c r="B407" s="22" t="s">
        <v>67</v>
      </c>
      <c r="C407" s="37">
        <v>29.23</v>
      </c>
      <c r="D407" s="37">
        <v>9.66</v>
      </c>
      <c r="E407" s="37">
        <f t="shared" si="18"/>
        <v>19.57</v>
      </c>
      <c r="F407" s="22" t="s">
        <v>38</v>
      </c>
      <c r="G407" s="22" t="s">
        <v>153</v>
      </c>
      <c r="H407" s="56">
        <v>500</v>
      </c>
      <c r="I407" s="56">
        <f t="shared" si="19"/>
        <v>9785</v>
      </c>
      <c r="J407" s="56">
        <v>0</v>
      </c>
      <c r="K407" s="56">
        <f t="shared" si="20"/>
        <v>9785</v>
      </c>
      <c r="L407" s="56">
        <v>0</v>
      </c>
      <c r="M407" s="56">
        <f t="shared" si="21"/>
        <v>9785</v>
      </c>
      <c r="N407" s="24" t="s">
        <v>44</v>
      </c>
    </row>
    <row r="408" spans="1:17" ht="15.75" customHeight="1" x14ac:dyDescent="0.25">
      <c r="A408" s="458"/>
      <c r="B408" s="22" t="s">
        <v>58</v>
      </c>
      <c r="C408" s="37">
        <v>29.48</v>
      </c>
      <c r="D408" s="37">
        <v>9.83</v>
      </c>
      <c r="E408" s="37">
        <f t="shared" si="18"/>
        <v>19.649999999999999</v>
      </c>
      <c r="F408" s="22" t="s">
        <v>38</v>
      </c>
      <c r="G408" s="22" t="s">
        <v>153</v>
      </c>
      <c r="H408" s="56">
        <v>500</v>
      </c>
      <c r="I408" s="56">
        <f t="shared" si="19"/>
        <v>9825</v>
      </c>
      <c r="J408" s="56">
        <v>0</v>
      </c>
      <c r="K408" s="56">
        <f t="shared" si="20"/>
        <v>9825</v>
      </c>
      <c r="L408" s="56">
        <v>0</v>
      </c>
      <c r="M408" s="56">
        <f t="shared" si="21"/>
        <v>9825</v>
      </c>
      <c r="N408" s="24" t="s">
        <v>44</v>
      </c>
    </row>
    <row r="409" spans="1:17" ht="15.75" customHeight="1" x14ac:dyDescent="0.25">
      <c r="A409" s="459"/>
      <c r="B409" s="15" t="s">
        <v>22</v>
      </c>
      <c r="C409" s="52">
        <v>31.58</v>
      </c>
      <c r="D409" s="52">
        <v>9.91</v>
      </c>
      <c r="E409" s="52">
        <f t="shared" si="18"/>
        <v>21.669999999999998</v>
      </c>
      <c r="F409" s="15" t="s">
        <v>38</v>
      </c>
      <c r="G409" s="15" t="s">
        <v>153</v>
      </c>
      <c r="H409" s="57">
        <v>500</v>
      </c>
      <c r="I409" s="57">
        <f t="shared" si="19"/>
        <v>10834.999999999998</v>
      </c>
      <c r="J409" s="57">
        <v>0</v>
      </c>
      <c r="K409" s="57">
        <f t="shared" si="20"/>
        <v>10834.999999999998</v>
      </c>
      <c r="L409" s="57">
        <v>0</v>
      </c>
      <c r="M409" s="57">
        <f t="shared" si="21"/>
        <v>10834.999999999998</v>
      </c>
      <c r="N409" s="17" t="s">
        <v>44</v>
      </c>
    </row>
    <row r="410" spans="1:17" ht="15.75" customHeight="1" x14ac:dyDescent="0.25">
      <c r="A410" s="457">
        <v>45810</v>
      </c>
      <c r="B410" s="12" t="s">
        <v>67</v>
      </c>
      <c r="C410" s="36">
        <v>29.81</v>
      </c>
      <c r="D410" s="36">
        <v>9.67</v>
      </c>
      <c r="E410" s="36">
        <f t="shared" si="18"/>
        <v>20.14</v>
      </c>
      <c r="F410" s="12" t="s">
        <v>35</v>
      </c>
      <c r="G410" s="12" t="s">
        <v>153</v>
      </c>
      <c r="H410" s="13">
        <v>1100</v>
      </c>
      <c r="I410" s="13">
        <f t="shared" si="19"/>
        <v>22154</v>
      </c>
      <c r="J410" s="13">
        <v>0</v>
      </c>
      <c r="K410" s="13">
        <f t="shared" si="20"/>
        <v>22154</v>
      </c>
      <c r="L410" s="13">
        <v>0</v>
      </c>
      <c r="M410" s="13">
        <f t="shared" si="21"/>
        <v>22154</v>
      </c>
      <c r="N410" s="14" t="s">
        <v>44</v>
      </c>
    </row>
    <row r="411" spans="1:17" ht="15.75" customHeight="1" x14ac:dyDescent="0.25">
      <c r="A411" s="458"/>
      <c r="B411" s="22" t="s">
        <v>58</v>
      </c>
      <c r="C411" s="37">
        <v>29.06</v>
      </c>
      <c r="D411" s="37">
        <v>9.82</v>
      </c>
      <c r="E411" s="37">
        <f t="shared" si="18"/>
        <v>19.239999999999998</v>
      </c>
      <c r="F411" s="22" t="s">
        <v>35</v>
      </c>
      <c r="G411" s="22" t="s">
        <v>153</v>
      </c>
      <c r="H411" s="23">
        <v>1100</v>
      </c>
      <c r="I411" s="23">
        <f t="shared" si="19"/>
        <v>21164</v>
      </c>
      <c r="J411" s="23">
        <v>0</v>
      </c>
      <c r="K411" s="23">
        <f t="shared" si="20"/>
        <v>21164</v>
      </c>
      <c r="L411" s="23">
        <v>0</v>
      </c>
      <c r="M411" s="23">
        <f t="shared" si="21"/>
        <v>21164</v>
      </c>
      <c r="N411" s="24" t="s">
        <v>44</v>
      </c>
    </row>
    <row r="412" spans="1:17" ht="15.75" customHeight="1" x14ac:dyDescent="0.25">
      <c r="A412" s="458"/>
      <c r="B412" s="22" t="s">
        <v>115</v>
      </c>
      <c r="C412" s="37">
        <v>30.55</v>
      </c>
      <c r="D412" s="37">
        <v>9.8000000000000007</v>
      </c>
      <c r="E412" s="37">
        <f t="shared" si="18"/>
        <v>20.75</v>
      </c>
      <c r="F412" s="22" t="s">
        <v>35</v>
      </c>
      <c r="G412" s="22" t="s">
        <v>153</v>
      </c>
      <c r="H412" s="23">
        <v>1100</v>
      </c>
      <c r="I412" s="23">
        <f t="shared" si="19"/>
        <v>22825</v>
      </c>
      <c r="J412" s="23">
        <v>0</v>
      </c>
      <c r="K412" s="23">
        <f t="shared" si="20"/>
        <v>22825</v>
      </c>
      <c r="L412" s="23">
        <v>0</v>
      </c>
      <c r="M412" s="23">
        <f t="shared" si="21"/>
        <v>22825</v>
      </c>
      <c r="N412" s="24" t="s">
        <v>44</v>
      </c>
    </row>
    <row r="413" spans="1:17" ht="15.75" customHeight="1" x14ac:dyDescent="0.25">
      <c r="A413" s="458"/>
      <c r="B413" s="22" t="s">
        <v>22</v>
      </c>
      <c r="C413" s="37">
        <v>30.91</v>
      </c>
      <c r="D413" s="37">
        <v>9.8699999999999992</v>
      </c>
      <c r="E413" s="37">
        <f t="shared" si="18"/>
        <v>21.04</v>
      </c>
      <c r="F413" s="22" t="s">
        <v>35</v>
      </c>
      <c r="G413" s="22" t="s">
        <v>153</v>
      </c>
      <c r="H413" s="23">
        <v>1100</v>
      </c>
      <c r="I413" s="23">
        <f t="shared" si="19"/>
        <v>23144</v>
      </c>
      <c r="J413" s="23">
        <v>0</v>
      </c>
      <c r="K413" s="23">
        <f t="shared" si="20"/>
        <v>23144</v>
      </c>
      <c r="L413" s="23">
        <v>0</v>
      </c>
      <c r="M413" s="23">
        <f t="shared" si="21"/>
        <v>23144</v>
      </c>
      <c r="N413" s="24" t="s">
        <v>44</v>
      </c>
    </row>
    <row r="414" spans="1:17" ht="15.75" customHeight="1" x14ac:dyDescent="0.25">
      <c r="A414" s="458"/>
      <c r="B414" s="22" t="s">
        <v>115</v>
      </c>
      <c r="C414" s="37">
        <v>29.1</v>
      </c>
      <c r="D414" s="37">
        <v>9.74</v>
      </c>
      <c r="E414" s="37">
        <f t="shared" si="18"/>
        <v>19.36</v>
      </c>
      <c r="F414" s="22" t="s">
        <v>26</v>
      </c>
      <c r="G414" s="22" t="s">
        <v>57</v>
      </c>
      <c r="H414" s="23">
        <v>1365</v>
      </c>
      <c r="I414" s="23">
        <f t="shared" si="19"/>
        <v>26426.399999999998</v>
      </c>
      <c r="J414" s="23">
        <v>0</v>
      </c>
      <c r="K414" s="23">
        <f t="shared" si="20"/>
        <v>26426.399999999998</v>
      </c>
      <c r="L414" s="23">
        <v>0</v>
      </c>
      <c r="M414" s="23">
        <f t="shared" si="21"/>
        <v>26426.399999999998</v>
      </c>
      <c r="N414" s="58" t="s">
        <v>44</v>
      </c>
    </row>
    <row r="415" spans="1:17" ht="15.75" customHeight="1" x14ac:dyDescent="0.25">
      <c r="A415" s="458"/>
      <c r="B415" s="22" t="s">
        <v>49</v>
      </c>
      <c r="C415" s="37">
        <v>23.78</v>
      </c>
      <c r="D415" s="37">
        <v>9.56</v>
      </c>
      <c r="E415" s="37">
        <f t="shared" si="18"/>
        <v>14.22</v>
      </c>
      <c r="F415" s="22" t="s">
        <v>23</v>
      </c>
      <c r="G415" s="22" t="s">
        <v>154</v>
      </c>
      <c r="H415" s="23">
        <v>1300</v>
      </c>
      <c r="I415" s="23">
        <f t="shared" si="19"/>
        <v>18486</v>
      </c>
      <c r="J415" s="23">
        <v>500</v>
      </c>
      <c r="K415" s="23">
        <f t="shared" si="20"/>
        <v>18986</v>
      </c>
      <c r="L415" s="23">
        <v>130</v>
      </c>
      <c r="M415" s="23">
        <f t="shared" si="21"/>
        <v>18856</v>
      </c>
      <c r="N415" s="58" t="s">
        <v>34</v>
      </c>
    </row>
    <row r="416" spans="1:17" ht="15.75" customHeight="1" x14ac:dyDescent="0.25">
      <c r="A416" s="458"/>
      <c r="B416" s="22" t="s">
        <v>47</v>
      </c>
      <c r="C416" s="37">
        <v>30.51</v>
      </c>
      <c r="D416" s="37">
        <v>9.65</v>
      </c>
      <c r="E416" s="37">
        <f t="shared" si="18"/>
        <v>20.86</v>
      </c>
      <c r="F416" s="22" t="s">
        <v>23</v>
      </c>
      <c r="G416" s="22" t="s">
        <v>155</v>
      </c>
      <c r="H416" s="23">
        <v>1300</v>
      </c>
      <c r="I416" s="23">
        <f t="shared" si="19"/>
        <v>27118</v>
      </c>
      <c r="J416" s="23">
        <v>0</v>
      </c>
      <c r="K416" s="23">
        <f t="shared" si="20"/>
        <v>27118</v>
      </c>
      <c r="L416" s="23">
        <v>0</v>
      </c>
      <c r="M416" s="23">
        <f t="shared" si="21"/>
        <v>27118</v>
      </c>
      <c r="N416" s="58" t="s">
        <v>44</v>
      </c>
    </row>
    <row r="417" spans="1:14" ht="15.75" customHeight="1" x14ac:dyDescent="0.25">
      <c r="A417" s="458"/>
      <c r="B417" s="59" t="s">
        <v>67</v>
      </c>
      <c r="C417" s="60">
        <v>29.94</v>
      </c>
      <c r="D417" s="60">
        <v>9.61</v>
      </c>
      <c r="E417" s="60">
        <v>19.329999999999998</v>
      </c>
      <c r="F417" s="59" t="s">
        <v>26</v>
      </c>
      <c r="G417" s="59" t="s">
        <v>156</v>
      </c>
      <c r="H417" s="61">
        <v>1225</v>
      </c>
      <c r="I417" s="61">
        <f t="shared" si="19"/>
        <v>23679.249999999996</v>
      </c>
      <c r="J417" s="61">
        <v>0</v>
      </c>
      <c r="K417" s="61">
        <f t="shared" si="20"/>
        <v>23679.249999999996</v>
      </c>
      <c r="L417" s="61">
        <v>0</v>
      </c>
      <c r="M417" s="61">
        <f t="shared" si="21"/>
        <v>23679.249999999996</v>
      </c>
      <c r="N417" s="62" t="s">
        <v>44</v>
      </c>
    </row>
    <row r="418" spans="1:14" ht="15.75" customHeight="1" x14ac:dyDescent="0.25">
      <c r="A418" s="458"/>
      <c r="B418" s="22" t="s">
        <v>58</v>
      </c>
      <c r="C418" s="37">
        <v>28.29</v>
      </c>
      <c r="D418" s="37">
        <v>9.76</v>
      </c>
      <c r="E418" s="37">
        <f>C418-D418</f>
        <v>18.53</v>
      </c>
      <c r="F418" s="22" t="s">
        <v>26</v>
      </c>
      <c r="G418" s="22" t="s">
        <v>57</v>
      </c>
      <c r="H418" s="23">
        <v>1365</v>
      </c>
      <c r="I418" s="23">
        <f t="shared" si="19"/>
        <v>25293.45</v>
      </c>
      <c r="J418" s="23">
        <v>0</v>
      </c>
      <c r="K418" s="23">
        <f t="shared" si="20"/>
        <v>25293.45</v>
      </c>
      <c r="L418" s="23">
        <v>0</v>
      </c>
      <c r="M418" s="23">
        <f t="shared" si="21"/>
        <v>25293.45</v>
      </c>
      <c r="N418" s="58" t="s">
        <v>44</v>
      </c>
    </row>
    <row r="419" spans="1:14" ht="15.75" customHeight="1" x14ac:dyDescent="0.25">
      <c r="A419" s="458"/>
      <c r="B419" s="59" t="s">
        <v>22</v>
      </c>
      <c r="C419" s="60">
        <v>29.18</v>
      </c>
      <c r="D419" s="60">
        <v>9.84</v>
      </c>
      <c r="E419" s="60">
        <v>19.3</v>
      </c>
      <c r="F419" s="59" t="s">
        <v>26</v>
      </c>
      <c r="G419" s="59" t="s">
        <v>156</v>
      </c>
      <c r="H419" s="61">
        <v>1225</v>
      </c>
      <c r="I419" s="61">
        <f t="shared" si="19"/>
        <v>23642.5</v>
      </c>
      <c r="J419" s="61">
        <v>0</v>
      </c>
      <c r="K419" s="61">
        <f t="shared" si="20"/>
        <v>23642.5</v>
      </c>
      <c r="L419" s="61">
        <v>0</v>
      </c>
      <c r="M419" s="61">
        <f t="shared" si="21"/>
        <v>23642.5</v>
      </c>
      <c r="N419" s="62" t="s">
        <v>44</v>
      </c>
    </row>
    <row r="420" spans="1:14" ht="15.75" customHeight="1" x14ac:dyDescent="0.25">
      <c r="A420" s="458"/>
      <c r="B420" s="22" t="s">
        <v>47</v>
      </c>
      <c r="C420" s="37">
        <v>29.98</v>
      </c>
      <c r="D420" s="37">
        <v>9.64</v>
      </c>
      <c r="E420" s="37">
        <f t="shared" ref="E420:E421" si="22">C420-D420</f>
        <v>20.34</v>
      </c>
      <c r="F420" s="22" t="s">
        <v>23</v>
      </c>
      <c r="G420" s="22" t="s">
        <v>155</v>
      </c>
      <c r="H420" s="23">
        <v>1300</v>
      </c>
      <c r="I420" s="23">
        <f t="shared" si="19"/>
        <v>26442</v>
      </c>
      <c r="J420" s="23">
        <v>0</v>
      </c>
      <c r="K420" s="23">
        <f t="shared" si="20"/>
        <v>26442</v>
      </c>
      <c r="L420" s="23">
        <v>0</v>
      </c>
      <c r="M420" s="23">
        <f t="shared" si="21"/>
        <v>26442</v>
      </c>
      <c r="N420" s="58" t="s">
        <v>44</v>
      </c>
    </row>
    <row r="421" spans="1:14" ht="15.75" customHeight="1" x14ac:dyDescent="0.25">
      <c r="A421" s="458"/>
      <c r="B421" s="22" t="s">
        <v>49</v>
      </c>
      <c r="C421" s="37">
        <v>18.55</v>
      </c>
      <c r="D421" s="37">
        <v>9.56</v>
      </c>
      <c r="E421" s="37">
        <f t="shared" si="22"/>
        <v>8.99</v>
      </c>
      <c r="F421" s="22" t="s">
        <v>23</v>
      </c>
      <c r="G421" s="22" t="s">
        <v>154</v>
      </c>
      <c r="H421" s="23">
        <v>1300</v>
      </c>
      <c r="I421" s="23">
        <f t="shared" si="19"/>
        <v>11687</v>
      </c>
      <c r="J421" s="23">
        <v>500</v>
      </c>
      <c r="K421" s="23">
        <f t="shared" si="20"/>
        <v>12187</v>
      </c>
      <c r="L421" s="23">
        <v>0</v>
      </c>
      <c r="M421" s="23">
        <f t="shared" si="21"/>
        <v>12187</v>
      </c>
      <c r="N421" s="58" t="s">
        <v>25</v>
      </c>
    </row>
    <row r="422" spans="1:14" ht="15.75" customHeight="1" x14ac:dyDescent="0.25">
      <c r="A422" s="458"/>
      <c r="B422" s="59" t="s">
        <v>22</v>
      </c>
      <c r="C422" s="60">
        <v>29.21</v>
      </c>
      <c r="D422" s="60">
        <v>9.84</v>
      </c>
      <c r="E422" s="60">
        <v>19.54</v>
      </c>
      <c r="F422" s="59" t="s">
        <v>26</v>
      </c>
      <c r="G422" s="59" t="s">
        <v>156</v>
      </c>
      <c r="H422" s="61">
        <v>1225</v>
      </c>
      <c r="I422" s="61">
        <f t="shared" si="19"/>
        <v>23936.5</v>
      </c>
      <c r="J422" s="61">
        <v>0</v>
      </c>
      <c r="K422" s="61">
        <f t="shared" si="20"/>
        <v>23936.5</v>
      </c>
      <c r="L422" s="61">
        <v>0</v>
      </c>
      <c r="M422" s="61">
        <f t="shared" si="21"/>
        <v>23936.5</v>
      </c>
      <c r="N422" s="62" t="s">
        <v>44</v>
      </c>
    </row>
    <row r="423" spans="1:14" ht="15.75" customHeight="1" x14ac:dyDescent="0.25">
      <c r="A423" s="458"/>
      <c r="B423" s="22" t="s">
        <v>47</v>
      </c>
      <c r="C423" s="37">
        <v>30.95</v>
      </c>
      <c r="D423" s="37">
        <v>9.65</v>
      </c>
      <c r="E423" s="37">
        <f t="shared" ref="E423:E620" si="23">C423-D423</f>
        <v>21.299999999999997</v>
      </c>
      <c r="F423" s="22" t="s">
        <v>23</v>
      </c>
      <c r="G423" s="22" t="s">
        <v>155</v>
      </c>
      <c r="H423" s="23">
        <v>1300</v>
      </c>
      <c r="I423" s="23">
        <f t="shared" si="19"/>
        <v>27689.999999999996</v>
      </c>
      <c r="J423" s="23">
        <v>0</v>
      </c>
      <c r="K423" s="23">
        <f t="shared" si="20"/>
        <v>27689.999999999996</v>
      </c>
      <c r="L423" s="23">
        <v>0</v>
      </c>
      <c r="M423" s="23">
        <f t="shared" si="21"/>
        <v>27689.999999999996</v>
      </c>
      <c r="N423" s="58" t="s">
        <v>44</v>
      </c>
    </row>
    <row r="424" spans="1:14" ht="15.75" customHeight="1" x14ac:dyDescent="0.25">
      <c r="A424" s="458"/>
      <c r="B424" s="22" t="s">
        <v>47</v>
      </c>
      <c r="C424" s="37">
        <v>31.47</v>
      </c>
      <c r="D424" s="37">
        <v>9.65</v>
      </c>
      <c r="E424" s="37">
        <f t="shared" si="23"/>
        <v>21.82</v>
      </c>
      <c r="F424" s="22" t="s">
        <v>23</v>
      </c>
      <c r="G424" s="22" t="s">
        <v>155</v>
      </c>
      <c r="H424" s="23">
        <v>1300</v>
      </c>
      <c r="I424" s="23">
        <f t="shared" si="19"/>
        <v>28366</v>
      </c>
      <c r="J424" s="23">
        <v>0</v>
      </c>
      <c r="K424" s="23">
        <f t="shared" si="20"/>
        <v>28366</v>
      </c>
      <c r="L424" s="23">
        <v>0</v>
      </c>
      <c r="M424" s="23">
        <f t="shared" si="21"/>
        <v>28366</v>
      </c>
      <c r="N424" s="58" t="s">
        <v>44</v>
      </c>
    </row>
    <row r="425" spans="1:14" ht="15.75" customHeight="1" x14ac:dyDescent="0.25">
      <c r="A425" s="458"/>
      <c r="B425" s="22" t="s">
        <v>67</v>
      </c>
      <c r="C425" s="37">
        <v>28.46</v>
      </c>
      <c r="D425" s="37">
        <v>9.6300000000000008</v>
      </c>
      <c r="E425" s="37">
        <f t="shared" si="23"/>
        <v>18.829999999999998</v>
      </c>
      <c r="F425" s="22" t="s">
        <v>35</v>
      </c>
      <c r="G425" s="22" t="s">
        <v>153</v>
      </c>
      <c r="H425" s="23">
        <v>1100</v>
      </c>
      <c r="I425" s="23">
        <f t="shared" si="19"/>
        <v>20712.999999999996</v>
      </c>
      <c r="J425" s="23">
        <v>0</v>
      </c>
      <c r="K425" s="23">
        <f t="shared" si="20"/>
        <v>20712.999999999996</v>
      </c>
      <c r="L425" s="23">
        <v>0</v>
      </c>
      <c r="M425" s="23">
        <f t="shared" si="21"/>
        <v>20712.999999999996</v>
      </c>
      <c r="N425" s="24" t="s">
        <v>44</v>
      </c>
    </row>
    <row r="426" spans="1:14" ht="15.75" customHeight="1" x14ac:dyDescent="0.25">
      <c r="A426" s="458"/>
      <c r="B426" s="22" t="s">
        <v>58</v>
      </c>
      <c r="C426" s="37">
        <v>28.42</v>
      </c>
      <c r="D426" s="37">
        <v>9.7899999999999991</v>
      </c>
      <c r="E426" s="37">
        <f t="shared" si="23"/>
        <v>18.630000000000003</v>
      </c>
      <c r="F426" s="22" t="s">
        <v>35</v>
      </c>
      <c r="G426" s="22" t="s">
        <v>153</v>
      </c>
      <c r="H426" s="23">
        <v>1100</v>
      </c>
      <c r="I426" s="23">
        <f t="shared" si="19"/>
        <v>20493.000000000004</v>
      </c>
      <c r="J426" s="23">
        <v>0</v>
      </c>
      <c r="K426" s="23">
        <f t="shared" si="20"/>
        <v>20493.000000000004</v>
      </c>
      <c r="L426" s="23">
        <v>0</v>
      </c>
      <c r="M426" s="23">
        <f t="shared" si="21"/>
        <v>20493.000000000004</v>
      </c>
      <c r="N426" s="24" t="s">
        <v>44</v>
      </c>
    </row>
    <row r="427" spans="1:14" ht="15.75" customHeight="1" x14ac:dyDescent="0.25">
      <c r="A427" s="458"/>
      <c r="B427" s="22" t="s">
        <v>115</v>
      </c>
      <c r="C427" s="37">
        <v>29.35</v>
      </c>
      <c r="D427" s="37">
        <v>9.75</v>
      </c>
      <c r="E427" s="37">
        <f t="shared" si="23"/>
        <v>19.600000000000001</v>
      </c>
      <c r="F427" s="22" t="s">
        <v>35</v>
      </c>
      <c r="G427" s="22" t="s">
        <v>153</v>
      </c>
      <c r="H427" s="23">
        <v>1100</v>
      </c>
      <c r="I427" s="23">
        <f t="shared" si="19"/>
        <v>21560</v>
      </c>
      <c r="J427" s="23">
        <v>0</v>
      </c>
      <c r="K427" s="23">
        <f t="shared" si="20"/>
        <v>21560</v>
      </c>
      <c r="L427" s="23">
        <v>0</v>
      </c>
      <c r="M427" s="23">
        <f t="shared" si="21"/>
        <v>21560</v>
      </c>
      <c r="N427" s="24" t="s">
        <v>44</v>
      </c>
    </row>
    <row r="428" spans="1:14" ht="15.75" customHeight="1" x14ac:dyDescent="0.25">
      <c r="A428" s="460"/>
      <c r="B428" s="33" t="s">
        <v>49</v>
      </c>
      <c r="C428" s="39">
        <v>18.79</v>
      </c>
      <c r="D428" s="39">
        <v>9.56</v>
      </c>
      <c r="E428" s="39">
        <f t="shared" si="23"/>
        <v>9.2299999999999986</v>
      </c>
      <c r="F428" s="33" t="s">
        <v>23</v>
      </c>
      <c r="G428" s="33" t="s">
        <v>154</v>
      </c>
      <c r="H428" s="34">
        <v>1300</v>
      </c>
      <c r="I428" s="34">
        <f t="shared" si="19"/>
        <v>11998.999999999998</v>
      </c>
      <c r="J428" s="34">
        <v>500</v>
      </c>
      <c r="K428" s="34">
        <f t="shared" si="20"/>
        <v>12498.999999999998</v>
      </c>
      <c r="L428" s="34">
        <v>0</v>
      </c>
      <c r="M428" s="34">
        <f t="shared" si="21"/>
        <v>12498.999999999998</v>
      </c>
      <c r="N428" s="63" t="s">
        <v>25</v>
      </c>
    </row>
    <row r="429" spans="1:14" ht="15.75" customHeight="1" x14ac:dyDescent="0.25">
      <c r="A429" s="457">
        <v>45811</v>
      </c>
      <c r="B429" s="12" t="s">
        <v>67</v>
      </c>
      <c r="C429" s="36">
        <v>29.2</v>
      </c>
      <c r="D429" s="36">
        <v>9.66</v>
      </c>
      <c r="E429" s="36">
        <f t="shared" si="23"/>
        <v>19.54</v>
      </c>
      <c r="F429" s="12" t="s">
        <v>35</v>
      </c>
      <c r="G429" s="12" t="s">
        <v>153</v>
      </c>
      <c r="H429" s="23">
        <v>1100</v>
      </c>
      <c r="I429" s="23">
        <f t="shared" si="19"/>
        <v>21494</v>
      </c>
      <c r="J429" s="23">
        <v>0</v>
      </c>
      <c r="K429" s="23">
        <f t="shared" si="20"/>
        <v>21494</v>
      </c>
      <c r="L429" s="23">
        <v>0</v>
      </c>
      <c r="M429" s="23">
        <f t="shared" si="21"/>
        <v>21494</v>
      </c>
      <c r="N429" s="24" t="s">
        <v>44</v>
      </c>
    </row>
    <row r="430" spans="1:14" ht="15.75" customHeight="1" x14ac:dyDescent="0.25">
      <c r="A430" s="458"/>
      <c r="B430" s="22" t="s">
        <v>58</v>
      </c>
      <c r="C430" s="37">
        <v>29.13</v>
      </c>
      <c r="D430" s="37">
        <v>9.7899999999999991</v>
      </c>
      <c r="E430" s="37">
        <f t="shared" si="23"/>
        <v>19.34</v>
      </c>
      <c r="F430" s="22" t="s">
        <v>35</v>
      </c>
      <c r="G430" s="22" t="s">
        <v>153</v>
      </c>
      <c r="H430" s="23">
        <v>1100</v>
      </c>
      <c r="I430" s="23">
        <f t="shared" si="19"/>
        <v>21274</v>
      </c>
      <c r="J430" s="23">
        <v>0</v>
      </c>
      <c r="K430" s="23">
        <f t="shared" si="20"/>
        <v>21274</v>
      </c>
      <c r="L430" s="23">
        <v>0</v>
      </c>
      <c r="M430" s="23">
        <f t="shared" si="21"/>
        <v>21274</v>
      </c>
      <c r="N430" s="24" t="s">
        <v>44</v>
      </c>
    </row>
    <row r="431" spans="1:14" ht="15.75" customHeight="1" x14ac:dyDescent="0.25">
      <c r="A431" s="458"/>
      <c r="B431" s="22" t="s">
        <v>115</v>
      </c>
      <c r="C431" s="37">
        <v>29.4</v>
      </c>
      <c r="D431" s="37">
        <v>9.7200000000000006</v>
      </c>
      <c r="E431" s="37">
        <f t="shared" si="23"/>
        <v>19.68</v>
      </c>
      <c r="F431" s="22" t="s">
        <v>35</v>
      </c>
      <c r="G431" s="22" t="s">
        <v>153</v>
      </c>
      <c r="H431" s="23">
        <v>1100</v>
      </c>
      <c r="I431" s="23">
        <f t="shared" si="19"/>
        <v>21648</v>
      </c>
      <c r="J431" s="23">
        <v>0</v>
      </c>
      <c r="K431" s="23">
        <f t="shared" si="20"/>
        <v>21648</v>
      </c>
      <c r="L431" s="23">
        <v>0</v>
      </c>
      <c r="M431" s="23">
        <f t="shared" si="21"/>
        <v>21648</v>
      </c>
      <c r="N431" s="24" t="s">
        <v>44</v>
      </c>
    </row>
    <row r="432" spans="1:14" ht="15.75" customHeight="1" x14ac:dyDescent="0.25">
      <c r="A432" s="458"/>
      <c r="B432" s="22" t="s">
        <v>22</v>
      </c>
      <c r="C432" s="37">
        <v>29.82</v>
      </c>
      <c r="D432" s="37">
        <v>9.8699999999999992</v>
      </c>
      <c r="E432" s="37">
        <f t="shared" si="23"/>
        <v>19.950000000000003</v>
      </c>
      <c r="F432" s="22" t="s">
        <v>35</v>
      </c>
      <c r="G432" s="22" t="s">
        <v>153</v>
      </c>
      <c r="H432" s="23">
        <v>1100</v>
      </c>
      <c r="I432" s="23">
        <f t="shared" si="19"/>
        <v>21945.000000000004</v>
      </c>
      <c r="J432" s="23">
        <v>0</v>
      </c>
      <c r="K432" s="23">
        <f t="shared" si="20"/>
        <v>21945.000000000004</v>
      </c>
      <c r="L432" s="23">
        <v>0</v>
      </c>
      <c r="M432" s="23">
        <f t="shared" si="21"/>
        <v>21945.000000000004</v>
      </c>
      <c r="N432" s="24" t="s">
        <v>44</v>
      </c>
    </row>
    <row r="433" spans="1:14" ht="15.75" customHeight="1" x14ac:dyDescent="0.25">
      <c r="A433" s="458"/>
      <c r="B433" s="22" t="s">
        <v>42</v>
      </c>
      <c r="C433" s="37">
        <v>28.64</v>
      </c>
      <c r="D433" s="37">
        <v>9.6999999999999993</v>
      </c>
      <c r="E433" s="37">
        <f t="shared" si="23"/>
        <v>18.940000000000001</v>
      </c>
      <c r="F433" s="22" t="s">
        <v>35</v>
      </c>
      <c r="G433" s="22" t="s">
        <v>153</v>
      </c>
      <c r="H433" s="23">
        <v>1100</v>
      </c>
      <c r="I433" s="23">
        <f t="shared" si="19"/>
        <v>20834</v>
      </c>
      <c r="J433" s="23">
        <v>0</v>
      </c>
      <c r="K433" s="23">
        <f t="shared" si="20"/>
        <v>20834</v>
      </c>
      <c r="L433" s="23">
        <v>0</v>
      </c>
      <c r="M433" s="23">
        <f t="shared" si="21"/>
        <v>20834</v>
      </c>
      <c r="N433" s="24" t="s">
        <v>44</v>
      </c>
    </row>
    <row r="434" spans="1:14" ht="15.75" customHeight="1" x14ac:dyDescent="0.25">
      <c r="A434" s="458"/>
      <c r="B434" s="22" t="s">
        <v>47</v>
      </c>
      <c r="C434" s="37">
        <v>30.93</v>
      </c>
      <c r="D434" s="37">
        <v>9.65</v>
      </c>
      <c r="E434" s="37">
        <f t="shared" si="23"/>
        <v>21.28</v>
      </c>
      <c r="F434" s="22" t="s">
        <v>23</v>
      </c>
      <c r="G434" s="22" t="s">
        <v>155</v>
      </c>
      <c r="H434" s="23">
        <v>1300</v>
      </c>
      <c r="I434" s="23">
        <f t="shared" si="19"/>
        <v>27664</v>
      </c>
      <c r="J434" s="23">
        <v>0</v>
      </c>
      <c r="K434" s="23">
        <f t="shared" si="20"/>
        <v>27664</v>
      </c>
      <c r="L434" s="23">
        <v>0</v>
      </c>
      <c r="M434" s="23">
        <f t="shared" si="21"/>
        <v>27664</v>
      </c>
      <c r="N434" s="58" t="s">
        <v>44</v>
      </c>
    </row>
    <row r="435" spans="1:14" ht="15.75" customHeight="1" x14ac:dyDescent="0.25">
      <c r="A435" s="458"/>
      <c r="B435" s="22" t="s">
        <v>51</v>
      </c>
      <c r="C435" s="37">
        <v>27.86</v>
      </c>
      <c r="D435" s="37">
        <v>9.82</v>
      </c>
      <c r="E435" s="37">
        <f t="shared" si="23"/>
        <v>18.04</v>
      </c>
      <c r="F435" s="22" t="s">
        <v>26</v>
      </c>
      <c r="G435" s="22" t="s">
        <v>156</v>
      </c>
      <c r="H435" s="23">
        <v>1225</v>
      </c>
      <c r="I435" s="23">
        <f t="shared" si="19"/>
        <v>22099</v>
      </c>
      <c r="J435" s="23">
        <v>0</v>
      </c>
      <c r="K435" s="23">
        <f t="shared" si="20"/>
        <v>22099</v>
      </c>
      <c r="L435" s="23">
        <v>0</v>
      </c>
      <c r="M435" s="23">
        <f t="shared" si="21"/>
        <v>22099</v>
      </c>
      <c r="N435" s="58" t="s">
        <v>44</v>
      </c>
    </row>
    <row r="436" spans="1:14" ht="15.75" customHeight="1" x14ac:dyDescent="0.25">
      <c r="A436" s="458"/>
      <c r="B436" s="22" t="s">
        <v>67</v>
      </c>
      <c r="C436" s="37">
        <v>28.81</v>
      </c>
      <c r="D436" s="37">
        <v>9.6300000000000008</v>
      </c>
      <c r="E436" s="37">
        <f t="shared" si="23"/>
        <v>19.18</v>
      </c>
      <c r="F436" s="22" t="s">
        <v>26</v>
      </c>
      <c r="G436" s="22" t="s">
        <v>156</v>
      </c>
      <c r="H436" s="23">
        <v>1225</v>
      </c>
      <c r="I436" s="23">
        <f t="shared" si="19"/>
        <v>23495.5</v>
      </c>
      <c r="J436" s="23">
        <v>0</v>
      </c>
      <c r="K436" s="23">
        <f t="shared" si="20"/>
        <v>23495.5</v>
      </c>
      <c r="L436" s="23">
        <v>0</v>
      </c>
      <c r="M436" s="23">
        <f t="shared" si="21"/>
        <v>23495.5</v>
      </c>
      <c r="N436" s="58" t="s">
        <v>44</v>
      </c>
    </row>
    <row r="437" spans="1:14" ht="15.75" customHeight="1" x14ac:dyDescent="0.25">
      <c r="A437" s="458"/>
      <c r="B437" s="22" t="s">
        <v>58</v>
      </c>
      <c r="C437" s="37">
        <v>28.1</v>
      </c>
      <c r="D437" s="37">
        <v>9.8000000000000007</v>
      </c>
      <c r="E437" s="37">
        <f t="shared" si="23"/>
        <v>18.3</v>
      </c>
      <c r="F437" s="22" t="s">
        <v>26</v>
      </c>
      <c r="G437" s="22" t="s">
        <v>156</v>
      </c>
      <c r="H437" s="23">
        <v>1225</v>
      </c>
      <c r="I437" s="23">
        <f t="shared" si="19"/>
        <v>22417.5</v>
      </c>
      <c r="J437" s="23">
        <v>0</v>
      </c>
      <c r="K437" s="23">
        <f t="shared" si="20"/>
        <v>22417.5</v>
      </c>
      <c r="L437" s="23">
        <v>0</v>
      </c>
      <c r="M437" s="23">
        <f t="shared" si="21"/>
        <v>22417.5</v>
      </c>
      <c r="N437" s="58" t="s">
        <v>44</v>
      </c>
    </row>
    <row r="438" spans="1:14" ht="15.75" customHeight="1" x14ac:dyDescent="0.25">
      <c r="A438" s="458"/>
      <c r="B438" s="22" t="s">
        <v>115</v>
      </c>
      <c r="C438" s="37">
        <v>27.92</v>
      </c>
      <c r="D438" s="37">
        <v>9.7200000000000006</v>
      </c>
      <c r="E438" s="37">
        <f t="shared" si="23"/>
        <v>18.200000000000003</v>
      </c>
      <c r="F438" s="22" t="s">
        <v>26</v>
      </c>
      <c r="G438" s="22" t="s">
        <v>57</v>
      </c>
      <c r="H438" s="23">
        <v>1365</v>
      </c>
      <c r="I438" s="23">
        <f t="shared" si="19"/>
        <v>24843.000000000004</v>
      </c>
      <c r="J438" s="23">
        <v>0</v>
      </c>
      <c r="K438" s="23">
        <f t="shared" si="20"/>
        <v>24843.000000000004</v>
      </c>
      <c r="L438" s="23">
        <v>0</v>
      </c>
      <c r="M438" s="23">
        <f t="shared" si="21"/>
        <v>24843.000000000004</v>
      </c>
      <c r="N438" s="58" t="s">
        <v>44</v>
      </c>
    </row>
    <row r="439" spans="1:14" ht="15.75" customHeight="1" x14ac:dyDescent="0.25">
      <c r="A439" s="458"/>
      <c r="B439" s="22" t="s">
        <v>22</v>
      </c>
      <c r="C439" s="37">
        <v>27.92</v>
      </c>
      <c r="D439" s="37">
        <v>9.85</v>
      </c>
      <c r="E439" s="37">
        <f t="shared" si="23"/>
        <v>18.07</v>
      </c>
      <c r="F439" s="22" t="s">
        <v>26</v>
      </c>
      <c r="G439" s="22" t="s">
        <v>57</v>
      </c>
      <c r="H439" s="23">
        <v>1365</v>
      </c>
      <c r="I439" s="23">
        <f t="shared" si="19"/>
        <v>24665.55</v>
      </c>
      <c r="J439" s="23">
        <v>0</v>
      </c>
      <c r="K439" s="23">
        <f t="shared" si="20"/>
        <v>24665.55</v>
      </c>
      <c r="L439" s="23">
        <v>0</v>
      </c>
      <c r="M439" s="23">
        <f t="shared" si="21"/>
        <v>24665.55</v>
      </c>
      <c r="N439" s="58" t="s">
        <v>44</v>
      </c>
    </row>
    <row r="440" spans="1:14" ht="15.75" customHeight="1" x14ac:dyDescent="0.25">
      <c r="A440" s="458"/>
      <c r="B440" s="22" t="s">
        <v>47</v>
      </c>
      <c r="C440" s="37">
        <v>31.65</v>
      </c>
      <c r="D440" s="37">
        <v>9.65</v>
      </c>
      <c r="E440" s="37">
        <f t="shared" si="23"/>
        <v>22</v>
      </c>
      <c r="F440" s="22" t="s">
        <v>23</v>
      </c>
      <c r="G440" s="22" t="s">
        <v>155</v>
      </c>
      <c r="H440" s="23">
        <v>1300</v>
      </c>
      <c r="I440" s="23">
        <f t="shared" si="19"/>
        <v>28600</v>
      </c>
      <c r="J440" s="23">
        <v>0</v>
      </c>
      <c r="K440" s="23">
        <f t="shared" si="20"/>
        <v>28600</v>
      </c>
      <c r="L440" s="23">
        <v>0</v>
      </c>
      <c r="M440" s="23">
        <f t="shared" si="21"/>
        <v>28600</v>
      </c>
      <c r="N440" s="58" t="s">
        <v>44</v>
      </c>
    </row>
    <row r="441" spans="1:14" ht="15.75" customHeight="1" x14ac:dyDescent="0.25">
      <c r="A441" s="458"/>
      <c r="B441" s="22" t="s">
        <v>42</v>
      </c>
      <c r="C441" s="37">
        <v>28.02</v>
      </c>
      <c r="D441" s="37">
        <v>9.66</v>
      </c>
      <c r="E441" s="37">
        <f t="shared" si="23"/>
        <v>18.36</v>
      </c>
      <c r="F441" s="22" t="s">
        <v>26</v>
      </c>
      <c r="G441" s="22" t="s">
        <v>57</v>
      </c>
      <c r="H441" s="23">
        <v>1365</v>
      </c>
      <c r="I441" s="23">
        <f t="shared" si="19"/>
        <v>25061.399999999998</v>
      </c>
      <c r="J441" s="23">
        <v>0</v>
      </c>
      <c r="K441" s="23">
        <f t="shared" si="20"/>
        <v>25061.399999999998</v>
      </c>
      <c r="L441" s="23">
        <v>0</v>
      </c>
      <c r="M441" s="23">
        <f t="shared" si="21"/>
        <v>25061.399999999998</v>
      </c>
      <c r="N441" s="58" t="s">
        <v>44</v>
      </c>
    </row>
    <row r="442" spans="1:14" ht="15.75" customHeight="1" x14ac:dyDescent="0.25">
      <c r="A442" s="458"/>
      <c r="B442" s="22" t="s">
        <v>49</v>
      </c>
      <c r="C442" s="37">
        <v>24.2</v>
      </c>
      <c r="D442" s="37">
        <v>9.57</v>
      </c>
      <c r="E442" s="37">
        <f t="shared" si="23"/>
        <v>14.629999999999999</v>
      </c>
      <c r="F442" s="22" t="s">
        <v>23</v>
      </c>
      <c r="G442" s="22" t="s">
        <v>157</v>
      </c>
      <c r="H442" s="23">
        <v>1350</v>
      </c>
      <c r="I442" s="23">
        <f t="shared" si="19"/>
        <v>19750.5</v>
      </c>
      <c r="J442" s="23">
        <v>2000</v>
      </c>
      <c r="K442" s="23">
        <f t="shared" si="20"/>
        <v>21750.5</v>
      </c>
      <c r="L442" s="23">
        <v>0</v>
      </c>
      <c r="M442" s="23">
        <f t="shared" si="21"/>
        <v>21750.5</v>
      </c>
      <c r="N442" s="58" t="s">
        <v>25</v>
      </c>
    </row>
    <row r="443" spans="1:14" ht="15.75" customHeight="1" x14ac:dyDescent="0.25">
      <c r="A443" s="458"/>
      <c r="B443" s="22" t="s">
        <v>47</v>
      </c>
      <c r="C443" s="37">
        <v>29.56</v>
      </c>
      <c r="D443" s="37">
        <v>9.65</v>
      </c>
      <c r="E443" s="37">
        <f t="shared" si="23"/>
        <v>19.909999999999997</v>
      </c>
      <c r="F443" s="22" t="s">
        <v>23</v>
      </c>
      <c r="G443" s="22" t="s">
        <v>155</v>
      </c>
      <c r="H443" s="23">
        <v>1300</v>
      </c>
      <c r="I443" s="23">
        <f t="shared" si="19"/>
        <v>25882.999999999996</v>
      </c>
      <c r="J443" s="23">
        <v>0</v>
      </c>
      <c r="K443" s="23">
        <f t="shared" si="20"/>
        <v>25882.999999999996</v>
      </c>
      <c r="L443" s="23">
        <v>0</v>
      </c>
      <c r="M443" s="23">
        <f t="shared" si="21"/>
        <v>25882.999999999996</v>
      </c>
      <c r="N443" s="58" t="s">
        <v>44</v>
      </c>
    </row>
    <row r="444" spans="1:14" ht="15.75" customHeight="1" x14ac:dyDescent="0.25">
      <c r="A444" s="458"/>
      <c r="B444" s="22" t="s">
        <v>67</v>
      </c>
      <c r="C444" s="37">
        <v>30.97</v>
      </c>
      <c r="D444" s="37">
        <v>9.64</v>
      </c>
      <c r="E444" s="37">
        <f t="shared" si="23"/>
        <v>21.33</v>
      </c>
      <c r="F444" s="22" t="s">
        <v>38</v>
      </c>
      <c r="G444" s="22" t="s">
        <v>153</v>
      </c>
      <c r="H444" s="23">
        <v>500</v>
      </c>
      <c r="I444" s="23">
        <f t="shared" si="19"/>
        <v>10665</v>
      </c>
      <c r="J444" s="23">
        <v>0</v>
      </c>
      <c r="K444" s="23">
        <f t="shared" si="20"/>
        <v>10665</v>
      </c>
      <c r="L444" s="23">
        <v>0</v>
      </c>
      <c r="M444" s="23">
        <f t="shared" si="21"/>
        <v>10665</v>
      </c>
      <c r="N444" s="58" t="s">
        <v>44</v>
      </c>
    </row>
    <row r="445" spans="1:14" ht="15.75" customHeight="1" x14ac:dyDescent="0.25">
      <c r="A445" s="458"/>
      <c r="B445" s="22" t="s">
        <v>58</v>
      </c>
      <c r="C445" s="37">
        <v>31.13</v>
      </c>
      <c r="D445" s="37">
        <v>9.8000000000000007</v>
      </c>
      <c r="E445" s="37">
        <f t="shared" si="23"/>
        <v>21.33</v>
      </c>
      <c r="F445" s="22" t="s">
        <v>38</v>
      </c>
      <c r="G445" s="22" t="s">
        <v>153</v>
      </c>
      <c r="H445" s="23">
        <v>500</v>
      </c>
      <c r="I445" s="23">
        <f t="shared" si="19"/>
        <v>10665</v>
      </c>
      <c r="J445" s="23">
        <v>0</v>
      </c>
      <c r="K445" s="23">
        <f t="shared" si="20"/>
        <v>10665</v>
      </c>
      <c r="L445" s="23">
        <v>0</v>
      </c>
      <c r="M445" s="23">
        <f t="shared" si="21"/>
        <v>10665</v>
      </c>
      <c r="N445" s="58" t="s">
        <v>44</v>
      </c>
    </row>
    <row r="446" spans="1:14" ht="15.75" customHeight="1" x14ac:dyDescent="0.25">
      <c r="A446" s="458"/>
      <c r="B446" s="22" t="s">
        <v>51</v>
      </c>
      <c r="C446" s="37">
        <v>31.18</v>
      </c>
      <c r="D446" s="37">
        <v>9.7899999999999991</v>
      </c>
      <c r="E446" s="37">
        <f t="shared" si="23"/>
        <v>21.39</v>
      </c>
      <c r="F446" s="22" t="s">
        <v>38</v>
      </c>
      <c r="G446" s="22" t="s">
        <v>153</v>
      </c>
      <c r="H446" s="23">
        <v>500</v>
      </c>
      <c r="I446" s="23">
        <f t="shared" si="19"/>
        <v>10695</v>
      </c>
      <c r="J446" s="23">
        <v>0</v>
      </c>
      <c r="K446" s="23">
        <f t="shared" si="20"/>
        <v>10695</v>
      </c>
      <c r="L446" s="23">
        <v>0</v>
      </c>
      <c r="M446" s="23">
        <f t="shared" si="21"/>
        <v>10695</v>
      </c>
      <c r="N446" s="58" t="s">
        <v>44</v>
      </c>
    </row>
    <row r="447" spans="1:14" ht="15.75" customHeight="1" x14ac:dyDescent="0.25">
      <c r="A447" s="460"/>
      <c r="B447" s="33" t="s">
        <v>40</v>
      </c>
      <c r="C447" s="39">
        <v>7.03</v>
      </c>
      <c r="D447" s="39">
        <v>3.14</v>
      </c>
      <c r="E447" s="39">
        <f t="shared" si="23"/>
        <v>3.89</v>
      </c>
      <c r="F447" s="33" t="s">
        <v>23</v>
      </c>
      <c r="G447" s="33" t="s">
        <v>158</v>
      </c>
      <c r="H447" s="34">
        <v>1350</v>
      </c>
      <c r="I447" s="34">
        <f t="shared" si="19"/>
        <v>5251.5</v>
      </c>
      <c r="J447" s="34">
        <v>0</v>
      </c>
      <c r="K447" s="34">
        <f t="shared" si="20"/>
        <v>5251.5</v>
      </c>
      <c r="L447" s="34">
        <v>0</v>
      </c>
      <c r="M447" s="34">
        <f t="shared" si="21"/>
        <v>5251.5</v>
      </c>
      <c r="N447" s="63" t="s">
        <v>20</v>
      </c>
    </row>
    <row r="448" spans="1:14" ht="15.75" customHeight="1" x14ac:dyDescent="0.25">
      <c r="A448" s="457">
        <v>45812</v>
      </c>
      <c r="B448" s="12" t="s">
        <v>42</v>
      </c>
      <c r="C448" s="36">
        <v>28.52</v>
      </c>
      <c r="D448" s="36">
        <v>9.66</v>
      </c>
      <c r="E448" s="36">
        <f t="shared" si="23"/>
        <v>18.86</v>
      </c>
      <c r="F448" s="12" t="s">
        <v>38</v>
      </c>
      <c r="G448" s="12" t="s">
        <v>153</v>
      </c>
      <c r="H448" s="13">
        <v>500</v>
      </c>
      <c r="I448" s="13">
        <f t="shared" si="19"/>
        <v>9430</v>
      </c>
      <c r="J448" s="13">
        <v>0</v>
      </c>
      <c r="K448" s="13">
        <f t="shared" si="20"/>
        <v>9430</v>
      </c>
      <c r="L448" s="13">
        <v>0</v>
      </c>
      <c r="M448" s="13">
        <f t="shared" si="21"/>
        <v>9430</v>
      </c>
      <c r="N448" s="14" t="s">
        <v>44</v>
      </c>
    </row>
    <row r="449" spans="1:14" ht="15.75" customHeight="1" x14ac:dyDescent="0.25">
      <c r="A449" s="458"/>
      <c r="B449" s="22" t="s">
        <v>22</v>
      </c>
      <c r="C449" s="37">
        <v>32.33</v>
      </c>
      <c r="D449" s="37">
        <v>9.85</v>
      </c>
      <c r="E449" s="37">
        <f t="shared" si="23"/>
        <v>22.479999999999997</v>
      </c>
      <c r="F449" s="22" t="s">
        <v>38</v>
      </c>
      <c r="G449" s="22" t="s">
        <v>153</v>
      </c>
      <c r="H449" s="23">
        <v>500</v>
      </c>
      <c r="I449" s="23">
        <f t="shared" si="19"/>
        <v>11239.999999999998</v>
      </c>
      <c r="J449" s="23">
        <v>0</v>
      </c>
      <c r="K449" s="23">
        <f t="shared" si="20"/>
        <v>11239.999999999998</v>
      </c>
      <c r="L449" s="23">
        <v>0</v>
      </c>
      <c r="M449" s="23">
        <f t="shared" si="21"/>
        <v>11239.999999999998</v>
      </c>
      <c r="N449" s="24" t="s">
        <v>44</v>
      </c>
    </row>
    <row r="450" spans="1:14" ht="15.75" customHeight="1" x14ac:dyDescent="0.25">
      <c r="A450" s="458"/>
      <c r="B450" s="22" t="s">
        <v>115</v>
      </c>
      <c r="C450" s="37">
        <v>32.08</v>
      </c>
      <c r="D450" s="37">
        <v>9.7200000000000006</v>
      </c>
      <c r="E450" s="37">
        <f t="shared" si="23"/>
        <v>22.36</v>
      </c>
      <c r="F450" s="22" t="s">
        <v>38</v>
      </c>
      <c r="G450" s="22" t="s">
        <v>153</v>
      </c>
      <c r="H450" s="23">
        <v>500</v>
      </c>
      <c r="I450" s="23">
        <f t="shared" si="19"/>
        <v>11180</v>
      </c>
      <c r="J450" s="23">
        <v>0</v>
      </c>
      <c r="K450" s="23">
        <f t="shared" si="20"/>
        <v>11180</v>
      </c>
      <c r="L450" s="23">
        <v>0</v>
      </c>
      <c r="M450" s="23">
        <f t="shared" si="21"/>
        <v>11180</v>
      </c>
      <c r="N450" s="24" t="s">
        <v>44</v>
      </c>
    </row>
    <row r="451" spans="1:14" ht="15.75" customHeight="1" x14ac:dyDescent="0.25">
      <c r="A451" s="458"/>
      <c r="B451" s="22" t="s">
        <v>51</v>
      </c>
      <c r="C451" s="37">
        <v>29.56</v>
      </c>
      <c r="D451" s="37">
        <v>9.8000000000000007</v>
      </c>
      <c r="E451" s="37">
        <f t="shared" si="23"/>
        <v>19.759999999999998</v>
      </c>
      <c r="F451" s="22" t="s">
        <v>38</v>
      </c>
      <c r="G451" s="22" t="s">
        <v>153</v>
      </c>
      <c r="H451" s="23">
        <v>500</v>
      </c>
      <c r="I451" s="23">
        <f t="shared" si="19"/>
        <v>9879.9999999999982</v>
      </c>
      <c r="J451" s="23">
        <v>0</v>
      </c>
      <c r="K451" s="23">
        <f t="shared" si="20"/>
        <v>9879.9999999999982</v>
      </c>
      <c r="L451" s="23">
        <v>0</v>
      </c>
      <c r="M451" s="23">
        <f t="shared" si="21"/>
        <v>9879.9999999999982</v>
      </c>
      <c r="N451" s="24" t="s">
        <v>44</v>
      </c>
    </row>
    <row r="452" spans="1:14" ht="15.75" customHeight="1" x14ac:dyDescent="0.25">
      <c r="A452" s="458"/>
      <c r="B452" s="22" t="s">
        <v>58</v>
      </c>
      <c r="C452" s="37">
        <v>28.57</v>
      </c>
      <c r="D452" s="37">
        <v>9.81</v>
      </c>
      <c r="E452" s="37">
        <f t="shared" si="23"/>
        <v>18.759999999999998</v>
      </c>
      <c r="F452" s="22" t="s">
        <v>38</v>
      </c>
      <c r="G452" s="22" t="s">
        <v>153</v>
      </c>
      <c r="H452" s="23">
        <v>500</v>
      </c>
      <c r="I452" s="23">
        <f t="shared" si="19"/>
        <v>9379.9999999999982</v>
      </c>
      <c r="J452" s="23">
        <v>0</v>
      </c>
      <c r="K452" s="23">
        <f t="shared" si="20"/>
        <v>9379.9999999999982</v>
      </c>
      <c r="L452" s="23">
        <v>0</v>
      </c>
      <c r="M452" s="23">
        <f t="shared" si="21"/>
        <v>9379.9999999999982</v>
      </c>
      <c r="N452" s="24" t="s">
        <v>44</v>
      </c>
    </row>
    <row r="453" spans="1:14" ht="15.75" customHeight="1" x14ac:dyDescent="0.25">
      <c r="A453" s="458"/>
      <c r="B453" s="22" t="s">
        <v>67</v>
      </c>
      <c r="C453" s="37">
        <v>29.96</v>
      </c>
      <c r="D453" s="37">
        <v>9.65</v>
      </c>
      <c r="E453" s="37">
        <f t="shared" si="23"/>
        <v>20.310000000000002</v>
      </c>
      <c r="F453" s="22" t="s">
        <v>38</v>
      </c>
      <c r="G453" s="22" t="s">
        <v>153</v>
      </c>
      <c r="H453" s="23">
        <v>500</v>
      </c>
      <c r="I453" s="23">
        <f t="shared" si="19"/>
        <v>10155.000000000002</v>
      </c>
      <c r="J453" s="23">
        <v>0</v>
      </c>
      <c r="K453" s="23">
        <f t="shared" si="20"/>
        <v>10155.000000000002</v>
      </c>
      <c r="L453" s="23">
        <v>0</v>
      </c>
      <c r="M453" s="23">
        <f t="shared" si="21"/>
        <v>10155.000000000002</v>
      </c>
      <c r="N453" s="58" t="s">
        <v>44</v>
      </c>
    </row>
    <row r="454" spans="1:14" ht="15.75" customHeight="1" x14ac:dyDescent="0.25">
      <c r="A454" s="458"/>
      <c r="B454" s="22" t="s">
        <v>47</v>
      </c>
      <c r="C454" s="37">
        <v>31.66</v>
      </c>
      <c r="D454" s="37">
        <v>9.66</v>
      </c>
      <c r="E454" s="37">
        <f t="shared" si="23"/>
        <v>22</v>
      </c>
      <c r="F454" s="22" t="s">
        <v>23</v>
      </c>
      <c r="G454" s="22" t="s">
        <v>155</v>
      </c>
      <c r="H454" s="23">
        <v>1300</v>
      </c>
      <c r="I454" s="23">
        <f t="shared" si="19"/>
        <v>28600</v>
      </c>
      <c r="J454" s="23">
        <v>0</v>
      </c>
      <c r="K454" s="23">
        <f t="shared" si="20"/>
        <v>28600</v>
      </c>
      <c r="L454" s="23">
        <v>0</v>
      </c>
      <c r="M454" s="23">
        <f t="shared" si="21"/>
        <v>28600</v>
      </c>
      <c r="N454" s="58" t="s">
        <v>44</v>
      </c>
    </row>
    <row r="455" spans="1:14" ht="15.75" customHeight="1" x14ac:dyDescent="0.25">
      <c r="A455" s="458"/>
      <c r="B455" s="22" t="s">
        <v>42</v>
      </c>
      <c r="C455" s="37">
        <v>28.27</v>
      </c>
      <c r="D455" s="37">
        <v>9.66</v>
      </c>
      <c r="E455" s="37">
        <f t="shared" si="23"/>
        <v>18.61</v>
      </c>
      <c r="F455" s="22" t="s">
        <v>23</v>
      </c>
      <c r="G455" s="22" t="s">
        <v>159</v>
      </c>
      <c r="H455" s="23">
        <v>1350</v>
      </c>
      <c r="I455" s="23">
        <f t="shared" si="19"/>
        <v>25123.5</v>
      </c>
      <c r="J455" s="23">
        <v>3000</v>
      </c>
      <c r="K455" s="23">
        <f t="shared" si="20"/>
        <v>28123.5</v>
      </c>
      <c r="L455" s="23">
        <v>23.5</v>
      </c>
      <c r="M455" s="23">
        <f t="shared" si="21"/>
        <v>28100</v>
      </c>
      <c r="N455" s="58" t="s">
        <v>25</v>
      </c>
    </row>
    <row r="456" spans="1:14" ht="15.75" customHeight="1" x14ac:dyDescent="0.25">
      <c r="A456" s="458"/>
      <c r="B456" s="22" t="s">
        <v>47</v>
      </c>
      <c r="C456" s="37">
        <v>32.630000000000003</v>
      </c>
      <c r="D456" s="37">
        <v>9.64</v>
      </c>
      <c r="E456" s="37">
        <f t="shared" si="23"/>
        <v>22.990000000000002</v>
      </c>
      <c r="F456" s="22" t="s">
        <v>23</v>
      </c>
      <c r="G456" s="22" t="s">
        <v>155</v>
      </c>
      <c r="H456" s="23">
        <v>1300</v>
      </c>
      <c r="I456" s="23">
        <f t="shared" si="19"/>
        <v>29887.000000000004</v>
      </c>
      <c r="J456" s="23">
        <v>0</v>
      </c>
      <c r="K456" s="23">
        <f t="shared" si="20"/>
        <v>29887.000000000004</v>
      </c>
      <c r="L456" s="23">
        <v>0</v>
      </c>
      <c r="M456" s="23">
        <f t="shared" si="21"/>
        <v>29887.000000000004</v>
      </c>
      <c r="N456" s="58" t="s">
        <v>44</v>
      </c>
    </row>
    <row r="457" spans="1:14" ht="15.75" customHeight="1" x14ac:dyDescent="0.25">
      <c r="A457" s="458"/>
      <c r="B457" s="22" t="s">
        <v>115</v>
      </c>
      <c r="C457" s="37">
        <v>28.09</v>
      </c>
      <c r="D457" s="37">
        <v>9.75</v>
      </c>
      <c r="E457" s="37">
        <f t="shared" si="23"/>
        <v>18.34</v>
      </c>
      <c r="F457" s="22" t="s">
        <v>26</v>
      </c>
      <c r="G457" s="22" t="s">
        <v>156</v>
      </c>
      <c r="H457" s="23">
        <v>1225</v>
      </c>
      <c r="I457" s="23">
        <f t="shared" si="19"/>
        <v>22466.5</v>
      </c>
      <c r="J457" s="23">
        <v>0</v>
      </c>
      <c r="K457" s="23">
        <f t="shared" si="20"/>
        <v>22466.5</v>
      </c>
      <c r="L457" s="23">
        <v>0</v>
      </c>
      <c r="M457" s="23">
        <f t="shared" si="21"/>
        <v>22466.5</v>
      </c>
      <c r="N457" s="58" t="s">
        <v>44</v>
      </c>
    </row>
    <row r="458" spans="1:14" ht="15.75" customHeight="1" x14ac:dyDescent="0.25">
      <c r="A458" s="458"/>
      <c r="B458" s="22" t="s">
        <v>51</v>
      </c>
      <c r="C458" s="37">
        <v>27.4</v>
      </c>
      <c r="D458" s="37">
        <v>9.7799999999999994</v>
      </c>
      <c r="E458" s="37">
        <f t="shared" si="23"/>
        <v>17.619999999999997</v>
      </c>
      <c r="F458" s="22" t="s">
        <v>26</v>
      </c>
      <c r="G458" s="22" t="s">
        <v>156</v>
      </c>
      <c r="H458" s="23">
        <v>1225</v>
      </c>
      <c r="I458" s="23">
        <f t="shared" si="19"/>
        <v>21584.499999999996</v>
      </c>
      <c r="J458" s="23">
        <v>0</v>
      </c>
      <c r="K458" s="23">
        <f t="shared" si="20"/>
        <v>21584.499999999996</v>
      </c>
      <c r="L458" s="23">
        <v>0</v>
      </c>
      <c r="M458" s="23">
        <f t="shared" si="21"/>
        <v>21584.499999999996</v>
      </c>
      <c r="N458" s="58" t="s">
        <v>44</v>
      </c>
    </row>
    <row r="459" spans="1:14" ht="15.75" customHeight="1" x14ac:dyDescent="0.25">
      <c r="A459" s="458"/>
      <c r="B459" s="22" t="s">
        <v>67</v>
      </c>
      <c r="C459" s="37">
        <v>28.39</v>
      </c>
      <c r="D459" s="37">
        <v>9.61</v>
      </c>
      <c r="E459" s="37">
        <f t="shared" si="23"/>
        <v>18.78</v>
      </c>
      <c r="F459" s="22" t="s">
        <v>26</v>
      </c>
      <c r="G459" s="22" t="s">
        <v>156</v>
      </c>
      <c r="H459" s="23">
        <v>1225</v>
      </c>
      <c r="I459" s="23">
        <f t="shared" si="19"/>
        <v>23005.5</v>
      </c>
      <c r="J459" s="23">
        <v>0</v>
      </c>
      <c r="K459" s="23">
        <f t="shared" si="20"/>
        <v>23005.5</v>
      </c>
      <c r="L459" s="23">
        <v>0</v>
      </c>
      <c r="M459" s="23">
        <f t="shared" si="21"/>
        <v>23005.5</v>
      </c>
      <c r="N459" s="58" t="s">
        <v>44</v>
      </c>
    </row>
    <row r="460" spans="1:14" ht="15.75" customHeight="1" x14ac:dyDescent="0.25">
      <c r="A460" s="458"/>
      <c r="B460" s="22" t="s">
        <v>30</v>
      </c>
      <c r="C460" s="37">
        <v>28.96</v>
      </c>
      <c r="D460" s="37">
        <v>9.64</v>
      </c>
      <c r="E460" s="37">
        <f t="shared" si="23"/>
        <v>19.32</v>
      </c>
      <c r="F460" s="22" t="s">
        <v>38</v>
      </c>
      <c r="G460" s="22" t="s">
        <v>153</v>
      </c>
      <c r="H460" s="23">
        <v>500</v>
      </c>
      <c r="I460" s="23">
        <f t="shared" si="19"/>
        <v>9660</v>
      </c>
      <c r="J460" s="23">
        <v>0</v>
      </c>
      <c r="K460" s="23">
        <f t="shared" si="20"/>
        <v>9660</v>
      </c>
      <c r="L460" s="23">
        <v>0</v>
      </c>
      <c r="M460" s="23">
        <f t="shared" si="21"/>
        <v>9660</v>
      </c>
      <c r="N460" s="58" t="s">
        <v>44</v>
      </c>
    </row>
    <row r="461" spans="1:14" ht="15.75" customHeight="1" x14ac:dyDescent="0.25">
      <c r="A461" s="458"/>
      <c r="B461" s="22" t="s">
        <v>22</v>
      </c>
      <c r="C461" s="37">
        <v>29.24</v>
      </c>
      <c r="D461" s="37">
        <v>9.86</v>
      </c>
      <c r="E461" s="37">
        <f t="shared" si="23"/>
        <v>19.38</v>
      </c>
      <c r="F461" s="22" t="s">
        <v>26</v>
      </c>
      <c r="G461" s="22" t="s">
        <v>156</v>
      </c>
      <c r="H461" s="23">
        <v>1225</v>
      </c>
      <c r="I461" s="23">
        <f t="shared" si="19"/>
        <v>23740.5</v>
      </c>
      <c r="J461" s="23">
        <v>0</v>
      </c>
      <c r="K461" s="23">
        <f t="shared" si="20"/>
        <v>23740.5</v>
      </c>
      <c r="L461" s="23">
        <v>0</v>
      </c>
      <c r="M461" s="23">
        <f t="shared" si="21"/>
        <v>23740.5</v>
      </c>
      <c r="N461" s="58" t="s">
        <v>25</v>
      </c>
    </row>
    <row r="462" spans="1:14" ht="15.75" customHeight="1" x14ac:dyDescent="0.25">
      <c r="A462" s="458"/>
      <c r="B462" s="22" t="s">
        <v>58</v>
      </c>
      <c r="C462" s="37">
        <v>28.33</v>
      </c>
      <c r="D462" s="37">
        <v>9.7799999999999994</v>
      </c>
      <c r="E462" s="37">
        <f t="shared" si="23"/>
        <v>18.549999999999997</v>
      </c>
      <c r="F462" s="22" t="s">
        <v>26</v>
      </c>
      <c r="G462" s="22" t="s">
        <v>156</v>
      </c>
      <c r="H462" s="23">
        <v>1225</v>
      </c>
      <c r="I462" s="23">
        <f t="shared" si="19"/>
        <v>22723.749999999996</v>
      </c>
      <c r="J462" s="23">
        <v>0</v>
      </c>
      <c r="K462" s="23">
        <f t="shared" si="20"/>
        <v>22723.749999999996</v>
      </c>
      <c r="L462" s="23">
        <v>0</v>
      </c>
      <c r="M462" s="23">
        <f t="shared" si="21"/>
        <v>22723.749999999996</v>
      </c>
      <c r="N462" s="58" t="s">
        <v>44</v>
      </c>
    </row>
    <row r="463" spans="1:14" ht="15.75" customHeight="1" x14ac:dyDescent="0.25">
      <c r="A463" s="458"/>
      <c r="B463" s="22" t="s">
        <v>42</v>
      </c>
      <c r="C463" s="37">
        <v>26.27</v>
      </c>
      <c r="D463" s="37">
        <v>9.66</v>
      </c>
      <c r="E463" s="37">
        <f t="shared" si="23"/>
        <v>16.61</v>
      </c>
      <c r="F463" s="22" t="s">
        <v>18</v>
      </c>
      <c r="G463" s="22" t="s">
        <v>160</v>
      </c>
      <c r="H463" s="23">
        <v>1200</v>
      </c>
      <c r="I463" s="23">
        <f t="shared" si="19"/>
        <v>19932</v>
      </c>
      <c r="J463" s="23">
        <v>500</v>
      </c>
      <c r="K463" s="23">
        <f t="shared" si="20"/>
        <v>20432</v>
      </c>
      <c r="L463" s="23">
        <v>32</v>
      </c>
      <c r="M463" s="23">
        <f t="shared" si="21"/>
        <v>20400</v>
      </c>
      <c r="N463" s="58" t="s">
        <v>20</v>
      </c>
    </row>
    <row r="464" spans="1:14" ht="15.75" customHeight="1" x14ac:dyDescent="0.25">
      <c r="A464" s="458"/>
      <c r="B464" s="22" t="s">
        <v>47</v>
      </c>
      <c r="C464" s="37">
        <v>30.2</v>
      </c>
      <c r="D464" s="37">
        <v>9.65</v>
      </c>
      <c r="E464" s="37">
        <f t="shared" si="23"/>
        <v>20.549999999999997</v>
      </c>
      <c r="F464" s="22" t="s">
        <v>23</v>
      </c>
      <c r="G464" s="22" t="s">
        <v>155</v>
      </c>
      <c r="H464" s="23">
        <v>1300</v>
      </c>
      <c r="I464" s="23">
        <f t="shared" si="19"/>
        <v>26714.999999999996</v>
      </c>
      <c r="J464" s="23">
        <v>0</v>
      </c>
      <c r="K464" s="23">
        <f t="shared" si="20"/>
        <v>26714.999999999996</v>
      </c>
      <c r="L464" s="23">
        <v>0</v>
      </c>
      <c r="M464" s="23">
        <f t="shared" si="21"/>
        <v>26714.999999999996</v>
      </c>
      <c r="N464" s="58" t="s">
        <v>44</v>
      </c>
    </row>
    <row r="465" spans="1:14" ht="15.75" customHeight="1" x14ac:dyDescent="0.25">
      <c r="A465" s="458"/>
      <c r="B465" s="22" t="s">
        <v>51</v>
      </c>
      <c r="C465" s="37">
        <v>28.39</v>
      </c>
      <c r="D465" s="37">
        <v>9.86</v>
      </c>
      <c r="E465" s="37">
        <f t="shared" si="23"/>
        <v>18.53</v>
      </c>
      <c r="F465" s="22" t="s">
        <v>35</v>
      </c>
      <c r="G465" s="22" t="s">
        <v>153</v>
      </c>
      <c r="H465" s="23">
        <v>1100</v>
      </c>
      <c r="I465" s="23">
        <f t="shared" si="19"/>
        <v>20383</v>
      </c>
      <c r="J465" s="23">
        <v>0</v>
      </c>
      <c r="K465" s="23">
        <f t="shared" si="20"/>
        <v>20383</v>
      </c>
      <c r="L465" s="23">
        <v>0</v>
      </c>
      <c r="M465" s="23">
        <f t="shared" si="21"/>
        <v>20383</v>
      </c>
      <c r="N465" s="58" t="s">
        <v>44</v>
      </c>
    </row>
    <row r="466" spans="1:14" ht="15.75" customHeight="1" x14ac:dyDescent="0.25">
      <c r="A466" s="458"/>
      <c r="B466" s="22" t="s">
        <v>115</v>
      </c>
      <c r="C466" s="37">
        <v>28.66</v>
      </c>
      <c r="D466" s="37">
        <v>9.7899999999999991</v>
      </c>
      <c r="E466" s="37">
        <f t="shared" si="23"/>
        <v>18.87</v>
      </c>
      <c r="F466" s="22" t="s">
        <v>35</v>
      </c>
      <c r="G466" s="22" t="s">
        <v>153</v>
      </c>
      <c r="H466" s="23">
        <v>1100</v>
      </c>
      <c r="I466" s="23">
        <f t="shared" si="19"/>
        <v>20757</v>
      </c>
      <c r="J466" s="23">
        <v>0</v>
      </c>
      <c r="K466" s="23">
        <f t="shared" si="20"/>
        <v>20757</v>
      </c>
      <c r="L466" s="23">
        <v>0</v>
      </c>
      <c r="M466" s="23">
        <f t="shared" si="21"/>
        <v>20757</v>
      </c>
      <c r="N466" s="58" t="s">
        <v>44</v>
      </c>
    </row>
    <row r="467" spans="1:14" ht="15.75" customHeight="1" x14ac:dyDescent="0.25">
      <c r="A467" s="460"/>
      <c r="B467" s="33" t="s">
        <v>30</v>
      </c>
      <c r="C467" s="39">
        <v>28.4</v>
      </c>
      <c r="D467" s="39">
        <v>9.66</v>
      </c>
      <c r="E467" s="39">
        <f t="shared" si="23"/>
        <v>18.739999999999998</v>
      </c>
      <c r="F467" s="33" t="s">
        <v>35</v>
      </c>
      <c r="G467" s="33" t="s">
        <v>153</v>
      </c>
      <c r="H467" s="34">
        <v>1100</v>
      </c>
      <c r="I467" s="34">
        <f t="shared" si="19"/>
        <v>20614</v>
      </c>
      <c r="J467" s="34">
        <v>0</v>
      </c>
      <c r="K467" s="34">
        <f t="shared" si="20"/>
        <v>20614</v>
      </c>
      <c r="L467" s="34">
        <v>0</v>
      </c>
      <c r="M467" s="34">
        <f t="shared" si="21"/>
        <v>20614</v>
      </c>
      <c r="N467" s="63" t="s">
        <v>44</v>
      </c>
    </row>
    <row r="468" spans="1:14" ht="15.75" customHeight="1" x14ac:dyDescent="0.25">
      <c r="A468" s="457">
        <v>45813</v>
      </c>
      <c r="B468" s="12" t="s">
        <v>67</v>
      </c>
      <c r="C468" s="36">
        <v>29.8</v>
      </c>
      <c r="D468" s="36">
        <v>9.83</v>
      </c>
      <c r="E468" s="36">
        <f t="shared" si="23"/>
        <v>19.97</v>
      </c>
      <c r="F468" s="12" t="s">
        <v>23</v>
      </c>
      <c r="G468" s="12" t="s">
        <v>153</v>
      </c>
      <c r="H468" s="13">
        <v>1300</v>
      </c>
      <c r="I468" s="13">
        <f t="shared" si="19"/>
        <v>25961</v>
      </c>
      <c r="J468" s="13">
        <v>0</v>
      </c>
      <c r="K468" s="13">
        <f t="shared" si="20"/>
        <v>25961</v>
      </c>
      <c r="L468" s="13">
        <v>0</v>
      </c>
      <c r="M468" s="13">
        <f t="shared" si="21"/>
        <v>25961</v>
      </c>
      <c r="N468" s="14" t="s">
        <v>44</v>
      </c>
    </row>
    <row r="469" spans="1:14" ht="15.75" customHeight="1" x14ac:dyDescent="0.25">
      <c r="A469" s="458"/>
      <c r="B469" s="22" t="s">
        <v>58</v>
      </c>
      <c r="C469" s="37">
        <v>30.5</v>
      </c>
      <c r="D469" s="37">
        <v>9.83</v>
      </c>
      <c r="E469" s="37">
        <f t="shared" si="23"/>
        <v>20.67</v>
      </c>
      <c r="F469" s="22" t="s">
        <v>23</v>
      </c>
      <c r="G469" s="22" t="s">
        <v>153</v>
      </c>
      <c r="H469" s="23">
        <v>1300</v>
      </c>
      <c r="I469" s="23">
        <f t="shared" si="19"/>
        <v>26871.000000000004</v>
      </c>
      <c r="J469" s="23">
        <v>0</v>
      </c>
      <c r="K469" s="23">
        <f t="shared" si="20"/>
        <v>26871.000000000004</v>
      </c>
      <c r="L469" s="23">
        <v>0</v>
      </c>
      <c r="M469" s="23">
        <f t="shared" si="21"/>
        <v>26871.000000000004</v>
      </c>
      <c r="N469" s="24" t="s">
        <v>44</v>
      </c>
    </row>
    <row r="470" spans="1:14" ht="15.75" customHeight="1" x14ac:dyDescent="0.25">
      <c r="A470" s="458"/>
      <c r="B470" s="22" t="s">
        <v>22</v>
      </c>
      <c r="C470" s="37">
        <v>30.08</v>
      </c>
      <c r="D470" s="37">
        <v>9.8800000000000008</v>
      </c>
      <c r="E470" s="37">
        <f t="shared" si="23"/>
        <v>20.199999999999996</v>
      </c>
      <c r="F470" s="22" t="s">
        <v>23</v>
      </c>
      <c r="G470" s="22" t="s">
        <v>153</v>
      </c>
      <c r="H470" s="23">
        <v>1300</v>
      </c>
      <c r="I470" s="23">
        <f t="shared" si="19"/>
        <v>26259.999999999993</v>
      </c>
      <c r="J470" s="23">
        <v>0</v>
      </c>
      <c r="K470" s="23">
        <f t="shared" si="20"/>
        <v>26259.999999999993</v>
      </c>
      <c r="L470" s="23">
        <v>0</v>
      </c>
      <c r="M470" s="23">
        <f t="shared" si="21"/>
        <v>26259.999999999993</v>
      </c>
      <c r="N470" s="24" t="s">
        <v>44</v>
      </c>
    </row>
    <row r="471" spans="1:14" ht="15.75" customHeight="1" x14ac:dyDescent="0.25">
      <c r="A471" s="458"/>
      <c r="B471" s="22" t="s">
        <v>30</v>
      </c>
      <c r="C471" s="37">
        <v>30.06</v>
      </c>
      <c r="D471" s="37">
        <v>9.69</v>
      </c>
      <c r="E471" s="37">
        <f t="shared" si="23"/>
        <v>20.369999999999997</v>
      </c>
      <c r="F471" s="22" t="s">
        <v>23</v>
      </c>
      <c r="G471" s="22" t="s">
        <v>153</v>
      </c>
      <c r="H471" s="23">
        <v>1300</v>
      </c>
      <c r="I471" s="23">
        <f t="shared" si="19"/>
        <v>26480.999999999996</v>
      </c>
      <c r="J471" s="23">
        <v>0</v>
      </c>
      <c r="K471" s="23">
        <f t="shared" si="20"/>
        <v>26480.999999999996</v>
      </c>
      <c r="L471" s="23">
        <v>0</v>
      </c>
      <c r="M471" s="23">
        <f t="shared" si="21"/>
        <v>26480.999999999996</v>
      </c>
      <c r="N471" s="24" t="s">
        <v>44</v>
      </c>
    </row>
    <row r="472" spans="1:14" ht="15.75" customHeight="1" x14ac:dyDescent="0.25">
      <c r="A472" s="458"/>
      <c r="B472" s="22" t="s">
        <v>115</v>
      </c>
      <c r="C472" s="37">
        <v>30.34</v>
      </c>
      <c r="D472" s="37">
        <v>9.8000000000000007</v>
      </c>
      <c r="E472" s="37">
        <f t="shared" si="23"/>
        <v>20.54</v>
      </c>
      <c r="F472" s="22" t="s">
        <v>23</v>
      </c>
      <c r="G472" s="22" t="s">
        <v>153</v>
      </c>
      <c r="H472" s="23">
        <v>1300</v>
      </c>
      <c r="I472" s="23">
        <f t="shared" si="19"/>
        <v>26702</v>
      </c>
      <c r="J472" s="23">
        <v>0</v>
      </c>
      <c r="K472" s="23">
        <f t="shared" si="20"/>
        <v>26702</v>
      </c>
      <c r="L472" s="23">
        <v>0</v>
      </c>
      <c r="M472" s="23">
        <f t="shared" si="21"/>
        <v>26702</v>
      </c>
      <c r="N472" s="24" t="s">
        <v>44</v>
      </c>
    </row>
    <row r="473" spans="1:14" ht="15.75" customHeight="1" x14ac:dyDescent="0.25">
      <c r="A473" s="458"/>
      <c r="B473" s="22" t="s">
        <v>51</v>
      </c>
      <c r="C473" s="37">
        <v>29.47</v>
      </c>
      <c r="D473" s="37">
        <v>9.84</v>
      </c>
      <c r="E473" s="37">
        <f t="shared" si="23"/>
        <v>19.63</v>
      </c>
      <c r="F473" s="22" t="s">
        <v>23</v>
      </c>
      <c r="G473" s="22" t="s">
        <v>153</v>
      </c>
      <c r="H473" s="23">
        <v>1300</v>
      </c>
      <c r="I473" s="23">
        <f t="shared" si="19"/>
        <v>25519</v>
      </c>
      <c r="J473" s="23">
        <v>0</v>
      </c>
      <c r="K473" s="23">
        <f t="shared" si="20"/>
        <v>25519</v>
      </c>
      <c r="L473" s="23">
        <v>0</v>
      </c>
      <c r="M473" s="23">
        <f t="shared" si="21"/>
        <v>25519</v>
      </c>
      <c r="N473" s="58" t="s">
        <v>44</v>
      </c>
    </row>
    <row r="474" spans="1:14" ht="15.75" customHeight="1" x14ac:dyDescent="0.25">
      <c r="A474" s="458"/>
      <c r="B474" s="22" t="s">
        <v>161</v>
      </c>
      <c r="C474" s="37">
        <v>3.13</v>
      </c>
      <c r="D474" s="37">
        <v>2.1</v>
      </c>
      <c r="E474" s="37">
        <f t="shared" si="23"/>
        <v>1.0299999999999998</v>
      </c>
      <c r="F474" s="22" t="s">
        <v>23</v>
      </c>
      <c r="G474" s="22" t="s">
        <v>162</v>
      </c>
      <c r="H474" s="23">
        <v>1350</v>
      </c>
      <c r="I474" s="23">
        <f t="shared" si="19"/>
        <v>1390.4999999999998</v>
      </c>
      <c r="J474" s="23">
        <v>129.5</v>
      </c>
      <c r="K474" s="23">
        <f t="shared" si="20"/>
        <v>1519.9999999999998</v>
      </c>
      <c r="L474" s="23">
        <v>0</v>
      </c>
      <c r="M474" s="23">
        <f t="shared" si="21"/>
        <v>1519.9999999999998</v>
      </c>
      <c r="N474" s="58" t="s">
        <v>20</v>
      </c>
    </row>
    <row r="475" spans="1:14" ht="15.75" customHeight="1" x14ac:dyDescent="0.25">
      <c r="A475" s="458"/>
      <c r="B475" s="22" t="s">
        <v>30</v>
      </c>
      <c r="C475" s="37">
        <v>28.93</v>
      </c>
      <c r="D475" s="37">
        <v>9.6199999999999992</v>
      </c>
      <c r="E475" s="37">
        <f t="shared" si="23"/>
        <v>19.310000000000002</v>
      </c>
      <c r="F475" s="22" t="s">
        <v>23</v>
      </c>
      <c r="G475" s="22" t="s">
        <v>153</v>
      </c>
      <c r="H475" s="23">
        <v>1300</v>
      </c>
      <c r="I475" s="23">
        <f t="shared" si="19"/>
        <v>25103.000000000004</v>
      </c>
      <c r="J475" s="23">
        <v>0</v>
      </c>
      <c r="K475" s="23">
        <f t="shared" si="20"/>
        <v>25103.000000000004</v>
      </c>
      <c r="L475" s="23">
        <v>0</v>
      </c>
      <c r="M475" s="23">
        <f t="shared" si="21"/>
        <v>25103.000000000004</v>
      </c>
      <c r="N475" s="58" t="s">
        <v>44</v>
      </c>
    </row>
    <row r="476" spans="1:14" ht="15.75" customHeight="1" x14ac:dyDescent="0.25">
      <c r="A476" s="458"/>
      <c r="B476" s="22" t="s">
        <v>115</v>
      </c>
      <c r="C476" s="37">
        <v>30.16</v>
      </c>
      <c r="D476" s="37">
        <v>9.76</v>
      </c>
      <c r="E476" s="37">
        <f t="shared" si="23"/>
        <v>20.399999999999999</v>
      </c>
      <c r="F476" s="22" t="s">
        <v>23</v>
      </c>
      <c r="G476" s="22" t="s">
        <v>153</v>
      </c>
      <c r="H476" s="23">
        <v>1300</v>
      </c>
      <c r="I476" s="23">
        <f t="shared" si="19"/>
        <v>26519.999999999996</v>
      </c>
      <c r="J476" s="23">
        <v>0</v>
      </c>
      <c r="K476" s="23">
        <f t="shared" si="20"/>
        <v>26519.999999999996</v>
      </c>
      <c r="L476" s="23">
        <v>0</v>
      </c>
      <c r="M476" s="23">
        <f t="shared" si="21"/>
        <v>26519.999999999996</v>
      </c>
      <c r="N476" s="58" t="s">
        <v>44</v>
      </c>
    </row>
    <row r="477" spans="1:14" ht="15.75" customHeight="1" x14ac:dyDescent="0.25">
      <c r="A477" s="458"/>
      <c r="B477" s="22" t="s">
        <v>22</v>
      </c>
      <c r="C477" s="37">
        <v>28.8</v>
      </c>
      <c r="D477" s="37">
        <v>9.86</v>
      </c>
      <c r="E477" s="37">
        <f t="shared" si="23"/>
        <v>18.940000000000001</v>
      </c>
      <c r="F477" s="22" t="s">
        <v>23</v>
      </c>
      <c r="G477" s="22" t="s">
        <v>153</v>
      </c>
      <c r="H477" s="23">
        <v>1300</v>
      </c>
      <c r="I477" s="23">
        <f t="shared" si="19"/>
        <v>24622</v>
      </c>
      <c r="J477" s="23">
        <v>0</v>
      </c>
      <c r="K477" s="23">
        <f t="shared" si="20"/>
        <v>24622</v>
      </c>
      <c r="L477" s="23">
        <v>0</v>
      </c>
      <c r="M477" s="23">
        <f t="shared" si="21"/>
        <v>24622</v>
      </c>
      <c r="N477" s="58" t="s">
        <v>44</v>
      </c>
    </row>
    <row r="478" spans="1:14" ht="15.75" customHeight="1" x14ac:dyDescent="0.25">
      <c r="A478" s="458"/>
      <c r="B478" s="22" t="s">
        <v>161</v>
      </c>
      <c r="C478" s="37">
        <v>3.4</v>
      </c>
      <c r="D478" s="37">
        <v>1.87</v>
      </c>
      <c r="E478" s="37">
        <f t="shared" si="23"/>
        <v>1.5299999999999998</v>
      </c>
      <c r="F478" s="22" t="s">
        <v>23</v>
      </c>
      <c r="G478" s="22" t="s">
        <v>162</v>
      </c>
      <c r="H478" s="23">
        <v>1350</v>
      </c>
      <c r="I478" s="23">
        <f t="shared" si="19"/>
        <v>2065.4999999999995</v>
      </c>
      <c r="J478" s="23">
        <v>0</v>
      </c>
      <c r="K478" s="23">
        <f t="shared" si="20"/>
        <v>2065.4999999999995</v>
      </c>
      <c r="L478" s="23">
        <v>0.5</v>
      </c>
      <c r="M478" s="23">
        <f t="shared" si="21"/>
        <v>2064.9999999999995</v>
      </c>
      <c r="N478" s="58" t="s">
        <v>20</v>
      </c>
    </row>
    <row r="479" spans="1:14" ht="15.75" customHeight="1" x14ac:dyDescent="0.25">
      <c r="A479" s="458"/>
      <c r="B479" s="22" t="s">
        <v>47</v>
      </c>
      <c r="C479" s="37">
        <v>29.87</v>
      </c>
      <c r="D479" s="37">
        <v>9.64</v>
      </c>
      <c r="E479" s="37">
        <f t="shared" si="23"/>
        <v>20.23</v>
      </c>
      <c r="F479" s="22" t="s">
        <v>23</v>
      </c>
      <c r="G479" s="22" t="s">
        <v>163</v>
      </c>
      <c r="H479" s="23">
        <v>1450</v>
      </c>
      <c r="I479" s="23">
        <f t="shared" si="19"/>
        <v>29333.5</v>
      </c>
      <c r="J479" s="23">
        <v>0</v>
      </c>
      <c r="K479" s="23">
        <f t="shared" si="20"/>
        <v>29333.5</v>
      </c>
      <c r="L479" s="23">
        <v>33.5</v>
      </c>
      <c r="M479" s="23">
        <f t="shared" si="21"/>
        <v>29300</v>
      </c>
      <c r="N479" s="58" t="s">
        <v>25</v>
      </c>
    </row>
    <row r="480" spans="1:14" ht="15.75" customHeight="1" x14ac:dyDescent="0.25">
      <c r="A480" s="458"/>
      <c r="B480" s="22" t="s">
        <v>67</v>
      </c>
      <c r="C480" s="37">
        <v>30.34</v>
      </c>
      <c r="D480" s="37">
        <v>9.66</v>
      </c>
      <c r="E480" s="37">
        <f t="shared" si="23"/>
        <v>20.68</v>
      </c>
      <c r="F480" s="22" t="s">
        <v>23</v>
      </c>
      <c r="G480" s="22" t="s">
        <v>153</v>
      </c>
      <c r="H480" s="23">
        <v>1300</v>
      </c>
      <c r="I480" s="23">
        <f t="shared" si="19"/>
        <v>26884</v>
      </c>
      <c r="J480" s="23">
        <v>0</v>
      </c>
      <c r="K480" s="23">
        <f t="shared" si="20"/>
        <v>26884</v>
      </c>
      <c r="L480" s="23">
        <v>0</v>
      </c>
      <c r="M480" s="23">
        <f t="shared" si="21"/>
        <v>26884</v>
      </c>
      <c r="N480" s="58" t="s">
        <v>44</v>
      </c>
    </row>
    <row r="481" spans="1:14" ht="15.75" customHeight="1" x14ac:dyDescent="0.25">
      <c r="A481" s="458"/>
      <c r="B481" s="22" t="s">
        <v>58</v>
      </c>
      <c r="C481" s="37">
        <v>28.7</v>
      </c>
      <c r="D481" s="37">
        <v>9.81</v>
      </c>
      <c r="E481" s="37">
        <f t="shared" si="23"/>
        <v>18.89</v>
      </c>
      <c r="F481" s="22" t="s">
        <v>23</v>
      </c>
      <c r="G481" s="22" t="s">
        <v>153</v>
      </c>
      <c r="H481" s="23">
        <v>1300</v>
      </c>
      <c r="I481" s="23">
        <f t="shared" si="19"/>
        <v>24557</v>
      </c>
      <c r="J481" s="23">
        <v>0</v>
      </c>
      <c r="K481" s="23">
        <f t="shared" si="20"/>
        <v>24557</v>
      </c>
      <c r="L481" s="23">
        <v>0</v>
      </c>
      <c r="M481" s="23">
        <f t="shared" si="21"/>
        <v>24557</v>
      </c>
      <c r="N481" s="58" t="s">
        <v>25</v>
      </c>
    </row>
    <row r="482" spans="1:14" ht="15.75" customHeight="1" x14ac:dyDescent="0.25">
      <c r="A482" s="458"/>
      <c r="B482" s="22" t="s">
        <v>40</v>
      </c>
      <c r="C482" s="37">
        <v>7.01</v>
      </c>
      <c r="D482" s="37">
        <v>3.13</v>
      </c>
      <c r="E482" s="37">
        <f t="shared" si="23"/>
        <v>3.88</v>
      </c>
      <c r="F482" s="22" t="s">
        <v>23</v>
      </c>
      <c r="G482" s="22" t="s">
        <v>164</v>
      </c>
      <c r="H482" s="23">
        <v>1350</v>
      </c>
      <c r="I482" s="23">
        <f t="shared" si="19"/>
        <v>5238</v>
      </c>
      <c r="J482" s="23">
        <v>0</v>
      </c>
      <c r="K482" s="23">
        <f t="shared" si="20"/>
        <v>5238</v>
      </c>
      <c r="L482" s="23">
        <v>8</v>
      </c>
      <c r="M482" s="23">
        <f t="shared" si="21"/>
        <v>5230</v>
      </c>
      <c r="N482" s="58" t="s">
        <v>20</v>
      </c>
    </row>
    <row r="483" spans="1:14" ht="15.75" customHeight="1" x14ac:dyDescent="0.25">
      <c r="A483" s="458"/>
      <c r="B483" s="33" t="s">
        <v>22</v>
      </c>
      <c r="C483" s="39">
        <v>29.47</v>
      </c>
      <c r="D483" s="39">
        <v>9.86</v>
      </c>
      <c r="E483" s="39">
        <f t="shared" si="23"/>
        <v>19.61</v>
      </c>
      <c r="F483" s="33" t="s">
        <v>23</v>
      </c>
      <c r="G483" s="33" t="s">
        <v>153</v>
      </c>
      <c r="H483" s="34">
        <v>1300</v>
      </c>
      <c r="I483" s="34">
        <f t="shared" si="19"/>
        <v>25493</v>
      </c>
      <c r="J483" s="34">
        <v>0</v>
      </c>
      <c r="K483" s="34">
        <f t="shared" si="20"/>
        <v>25493</v>
      </c>
      <c r="L483" s="34">
        <v>0</v>
      </c>
      <c r="M483" s="34">
        <f t="shared" si="21"/>
        <v>25493</v>
      </c>
      <c r="N483" s="63" t="s">
        <v>20</v>
      </c>
    </row>
    <row r="484" spans="1:14" ht="15.75" customHeight="1" x14ac:dyDescent="0.25">
      <c r="A484" s="457">
        <v>45814</v>
      </c>
      <c r="B484" s="12" t="s">
        <v>100</v>
      </c>
      <c r="C484" s="36">
        <v>6.89</v>
      </c>
      <c r="D484" s="36">
        <v>3.08</v>
      </c>
      <c r="E484" s="36">
        <f t="shared" si="23"/>
        <v>3.8099999999999996</v>
      </c>
      <c r="F484" s="12" t="s">
        <v>23</v>
      </c>
      <c r="G484" s="12" t="s">
        <v>165</v>
      </c>
      <c r="H484" s="13">
        <v>1350</v>
      </c>
      <c r="I484" s="13">
        <f t="shared" si="19"/>
        <v>5143.4999999999991</v>
      </c>
      <c r="J484" s="13">
        <v>0</v>
      </c>
      <c r="K484" s="13">
        <f t="shared" si="20"/>
        <v>5143.4999999999991</v>
      </c>
      <c r="L484" s="13">
        <v>3.5</v>
      </c>
      <c r="M484" s="13">
        <f t="shared" si="21"/>
        <v>5139.9999999999991</v>
      </c>
      <c r="N484" s="64" t="s">
        <v>20</v>
      </c>
    </row>
    <row r="485" spans="1:14" ht="15.75" customHeight="1" x14ac:dyDescent="0.25">
      <c r="A485" s="458"/>
      <c r="B485" s="22" t="s">
        <v>30</v>
      </c>
      <c r="C485" s="37">
        <v>28.83</v>
      </c>
      <c r="D485" s="37">
        <v>9.64</v>
      </c>
      <c r="E485" s="37">
        <f t="shared" si="23"/>
        <v>19.189999999999998</v>
      </c>
      <c r="F485" s="22" t="s">
        <v>35</v>
      </c>
      <c r="G485" s="22" t="s">
        <v>153</v>
      </c>
      <c r="H485" s="23">
        <v>1100</v>
      </c>
      <c r="I485" s="23">
        <f t="shared" si="19"/>
        <v>21108.999999999996</v>
      </c>
      <c r="J485" s="23">
        <v>0</v>
      </c>
      <c r="K485" s="23">
        <f t="shared" si="20"/>
        <v>21108.999999999996</v>
      </c>
      <c r="L485" s="23">
        <v>0</v>
      </c>
      <c r="M485" s="23">
        <f t="shared" si="21"/>
        <v>21108.999999999996</v>
      </c>
      <c r="N485" s="58" t="s">
        <v>44</v>
      </c>
    </row>
    <row r="486" spans="1:14" ht="15.75" customHeight="1" x14ac:dyDescent="0.25">
      <c r="A486" s="458"/>
      <c r="B486" s="22" t="s">
        <v>67</v>
      </c>
      <c r="C486" s="37">
        <v>29.71</v>
      </c>
      <c r="D486" s="37">
        <v>9.6300000000000008</v>
      </c>
      <c r="E486" s="37">
        <f t="shared" si="23"/>
        <v>20.079999999999998</v>
      </c>
      <c r="F486" s="22" t="s">
        <v>35</v>
      </c>
      <c r="G486" s="22" t="s">
        <v>153</v>
      </c>
      <c r="H486" s="23">
        <v>1100</v>
      </c>
      <c r="I486" s="23">
        <f t="shared" si="19"/>
        <v>22087.999999999996</v>
      </c>
      <c r="J486" s="23">
        <v>0</v>
      </c>
      <c r="K486" s="23">
        <f t="shared" si="20"/>
        <v>22087.999999999996</v>
      </c>
      <c r="L486" s="23">
        <v>0</v>
      </c>
      <c r="M486" s="23">
        <f t="shared" si="21"/>
        <v>22087.999999999996</v>
      </c>
      <c r="N486" s="58" t="s">
        <v>44</v>
      </c>
    </row>
    <row r="487" spans="1:14" ht="15.75" customHeight="1" x14ac:dyDescent="0.25">
      <c r="A487" s="458"/>
      <c r="B487" s="22" t="s">
        <v>115</v>
      </c>
      <c r="C487" s="37">
        <v>29.44</v>
      </c>
      <c r="D487" s="37">
        <v>9.76</v>
      </c>
      <c r="E487" s="37">
        <f t="shared" si="23"/>
        <v>19.68</v>
      </c>
      <c r="F487" s="22" t="s">
        <v>35</v>
      </c>
      <c r="G487" s="22" t="s">
        <v>153</v>
      </c>
      <c r="H487" s="23">
        <v>1100</v>
      </c>
      <c r="I487" s="23">
        <f t="shared" si="19"/>
        <v>21648</v>
      </c>
      <c r="J487" s="23">
        <v>0</v>
      </c>
      <c r="K487" s="23">
        <f t="shared" si="20"/>
        <v>21648</v>
      </c>
      <c r="L487" s="23">
        <v>0</v>
      </c>
      <c r="M487" s="23">
        <f t="shared" si="21"/>
        <v>21648</v>
      </c>
      <c r="N487" s="58" t="s">
        <v>44</v>
      </c>
    </row>
    <row r="488" spans="1:14" ht="15.75" customHeight="1" x14ac:dyDescent="0.25">
      <c r="A488" s="458"/>
      <c r="B488" s="22" t="s">
        <v>58</v>
      </c>
      <c r="C488" s="37">
        <v>28.58</v>
      </c>
      <c r="D488" s="37">
        <v>9.7899999999999991</v>
      </c>
      <c r="E488" s="37">
        <f t="shared" si="23"/>
        <v>18.79</v>
      </c>
      <c r="F488" s="22" t="s">
        <v>35</v>
      </c>
      <c r="G488" s="22" t="s">
        <v>153</v>
      </c>
      <c r="H488" s="23">
        <v>1100</v>
      </c>
      <c r="I488" s="23">
        <f t="shared" si="19"/>
        <v>20669</v>
      </c>
      <c r="J488" s="23">
        <v>0</v>
      </c>
      <c r="K488" s="23">
        <f t="shared" si="20"/>
        <v>20669</v>
      </c>
      <c r="L488" s="23">
        <v>0</v>
      </c>
      <c r="M488" s="23">
        <f t="shared" si="21"/>
        <v>20669</v>
      </c>
      <c r="N488" s="58" t="s">
        <v>44</v>
      </c>
    </row>
    <row r="489" spans="1:14" ht="15.75" customHeight="1" x14ac:dyDescent="0.25">
      <c r="A489" s="458"/>
      <c r="B489" s="22" t="s">
        <v>51</v>
      </c>
      <c r="C489" s="37">
        <v>27.27</v>
      </c>
      <c r="D489" s="37">
        <v>9.77</v>
      </c>
      <c r="E489" s="37">
        <f t="shared" si="23"/>
        <v>17.5</v>
      </c>
      <c r="F489" s="22" t="s">
        <v>35</v>
      </c>
      <c r="G489" s="22" t="s">
        <v>153</v>
      </c>
      <c r="H489" s="23">
        <v>1100</v>
      </c>
      <c r="I489" s="23">
        <f t="shared" si="19"/>
        <v>19250</v>
      </c>
      <c r="J489" s="23">
        <v>0</v>
      </c>
      <c r="K489" s="23">
        <f t="shared" si="20"/>
        <v>19250</v>
      </c>
      <c r="L489" s="23">
        <v>0</v>
      </c>
      <c r="M489" s="23">
        <f t="shared" si="21"/>
        <v>19250</v>
      </c>
      <c r="N489" s="58" t="s">
        <v>44</v>
      </c>
    </row>
    <row r="490" spans="1:14" ht="15.75" customHeight="1" x14ac:dyDescent="0.25">
      <c r="A490" s="458"/>
      <c r="B490" s="22" t="s">
        <v>22</v>
      </c>
      <c r="C490" s="37">
        <v>28.41</v>
      </c>
      <c r="D490" s="37">
        <v>9.83</v>
      </c>
      <c r="E490" s="37">
        <f t="shared" si="23"/>
        <v>18.579999999999998</v>
      </c>
      <c r="F490" s="22" t="s">
        <v>35</v>
      </c>
      <c r="G490" s="22" t="s">
        <v>153</v>
      </c>
      <c r="H490" s="23">
        <v>1100</v>
      </c>
      <c r="I490" s="23">
        <f t="shared" si="19"/>
        <v>20437.999999999996</v>
      </c>
      <c r="J490" s="23">
        <v>0</v>
      </c>
      <c r="K490" s="23">
        <f t="shared" si="20"/>
        <v>20437.999999999996</v>
      </c>
      <c r="L490" s="23">
        <v>0</v>
      </c>
      <c r="M490" s="23">
        <f t="shared" si="21"/>
        <v>20437.999999999996</v>
      </c>
      <c r="N490" s="58" t="s">
        <v>44</v>
      </c>
    </row>
    <row r="491" spans="1:14" ht="15.75" customHeight="1" x14ac:dyDescent="0.25">
      <c r="A491" s="458"/>
      <c r="B491" s="22" t="s">
        <v>47</v>
      </c>
      <c r="C491" s="37">
        <v>28.48</v>
      </c>
      <c r="D491" s="37">
        <v>9.64</v>
      </c>
      <c r="E491" s="37">
        <f t="shared" si="23"/>
        <v>18.84</v>
      </c>
      <c r="F491" s="22" t="s">
        <v>35</v>
      </c>
      <c r="G491" s="22" t="s">
        <v>153</v>
      </c>
      <c r="H491" s="23">
        <v>1100</v>
      </c>
      <c r="I491" s="23">
        <f t="shared" si="19"/>
        <v>20724</v>
      </c>
      <c r="J491" s="23">
        <v>0</v>
      </c>
      <c r="K491" s="23">
        <f t="shared" si="20"/>
        <v>20724</v>
      </c>
      <c r="L491" s="23">
        <v>0</v>
      </c>
      <c r="M491" s="23">
        <f t="shared" si="21"/>
        <v>20724</v>
      </c>
      <c r="N491" s="58" t="s">
        <v>44</v>
      </c>
    </row>
    <row r="492" spans="1:14" ht="15.75" customHeight="1" x14ac:dyDescent="0.25">
      <c r="A492" s="458"/>
      <c r="B492" s="22" t="s">
        <v>30</v>
      </c>
      <c r="C492" s="37">
        <v>28.35</v>
      </c>
      <c r="D492" s="37">
        <v>9.65</v>
      </c>
      <c r="E492" s="37">
        <f t="shared" si="23"/>
        <v>18.700000000000003</v>
      </c>
      <c r="F492" s="22" t="s">
        <v>35</v>
      </c>
      <c r="G492" s="22" t="s">
        <v>153</v>
      </c>
      <c r="H492" s="23">
        <v>1100</v>
      </c>
      <c r="I492" s="23">
        <f t="shared" si="19"/>
        <v>20570.000000000004</v>
      </c>
      <c r="J492" s="23">
        <v>0</v>
      </c>
      <c r="K492" s="23">
        <f t="shared" si="20"/>
        <v>20570.000000000004</v>
      </c>
      <c r="L492" s="23">
        <v>0</v>
      </c>
      <c r="M492" s="23">
        <f t="shared" si="21"/>
        <v>20570.000000000004</v>
      </c>
      <c r="N492" s="58" t="s">
        <v>44</v>
      </c>
    </row>
    <row r="493" spans="1:14" ht="15.75" customHeight="1" x14ac:dyDescent="0.25">
      <c r="A493" s="458"/>
      <c r="B493" s="22" t="s">
        <v>51</v>
      </c>
      <c r="C493" s="37">
        <v>28.29</v>
      </c>
      <c r="D493" s="37">
        <v>9.77</v>
      </c>
      <c r="E493" s="37">
        <f t="shared" si="23"/>
        <v>18.52</v>
      </c>
      <c r="F493" s="22" t="s">
        <v>35</v>
      </c>
      <c r="G493" s="22" t="s">
        <v>153</v>
      </c>
      <c r="H493" s="23">
        <v>1100</v>
      </c>
      <c r="I493" s="23">
        <f t="shared" si="19"/>
        <v>20372</v>
      </c>
      <c r="J493" s="23">
        <v>0</v>
      </c>
      <c r="K493" s="23">
        <f t="shared" si="20"/>
        <v>20372</v>
      </c>
      <c r="L493" s="23">
        <v>0</v>
      </c>
      <c r="M493" s="23">
        <f t="shared" si="21"/>
        <v>20372</v>
      </c>
      <c r="N493" s="58" t="s">
        <v>44</v>
      </c>
    </row>
    <row r="494" spans="1:14" ht="15.75" customHeight="1" x14ac:dyDescent="0.25">
      <c r="A494" s="458"/>
      <c r="B494" s="22" t="s">
        <v>67</v>
      </c>
      <c r="C494" s="37">
        <v>28.66</v>
      </c>
      <c r="D494" s="37">
        <v>9.66</v>
      </c>
      <c r="E494" s="37">
        <f t="shared" si="23"/>
        <v>19</v>
      </c>
      <c r="F494" s="22" t="s">
        <v>35</v>
      </c>
      <c r="G494" s="22" t="s">
        <v>153</v>
      </c>
      <c r="H494" s="23">
        <v>1100</v>
      </c>
      <c r="I494" s="23">
        <f t="shared" si="19"/>
        <v>20900</v>
      </c>
      <c r="J494" s="23">
        <v>0</v>
      </c>
      <c r="K494" s="23">
        <f t="shared" si="20"/>
        <v>20900</v>
      </c>
      <c r="L494" s="23">
        <v>0</v>
      </c>
      <c r="M494" s="23">
        <f t="shared" si="21"/>
        <v>20900</v>
      </c>
      <c r="N494" s="58" t="s">
        <v>44</v>
      </c>
    </row>
    <row r="495" spans="1:14" ht="15.75" customHeight="1" x14ac:dyDescent="0.25">
      <c r="A495" s="458"/>
      <c r="B495" s="22" t="s">
        <v>22</v>
      </c>
      <c r="C495" s="37">
        <v>28.95</v>
      </c>
      <c r="D495" s="37">
        <v>9.84</v>
      </c>
      <c r="E495" s="37">
        <f t="shared" si="23"/>
        <v>19.11</v>
      </c>
      <c r="F495" s="22" t="s">
        <v>35</v>
      </c>
      <c r="G495" s="22" t="s">
        <v>153</v>
      </c>
      <c r="H495" s="23">
        <v>1100</v>
      </c>
      <c r="I495" s="23">
        <f t="shared" si="19"/>
        <v>21021</v>
      </c>
      <c r="J495" s="23">
        <v>0</v>
      </c>
      <c r="K495" s="23">
        <f t="shared" si="20"/>
        <v>21021</v>
      </c>
      <c r="L495" s="23">
        <v>0</v>
      </c>
      <c r="M495" s="23">
        <f t="shared" si="21"/>
        <v>21021</v>
      </c>
      <c r="N495" s="58" t="s">
        <v>44</v>
      </c>
    </row>
    <row r="496" spans="1:14" ht="15.75" customHeight="1" x14ac:dyDescent="0.25">
      <c r="A496" s="458"/>
      <c r="B496" s="22" t="s">
        <v>115</v>
      </c>
      <c r="C496" s="37">
        <v>29.75</v>
      </c>
      <c r="D496" s="37">
        <v>9.76</v>
      </c>
      <c r="E496" s="37">
        <f t="shared" si="23"/>
        <v>19.990000000000002</v>
      </c>
      <c r="F496" s="22" t="s">
        <v>35</v>
      </c>
      <c r="G496" s="22" t="s">
        <v>153</v>
      </c>
      <c r="H496" s="23">
        <v>1100</v>
      </c>
      <c r="I496" s="23">
        <f t="shared" si="19"/>
        <v>21989.000000000004</v>
      </c>
      <c r="J496" s="23">
        <v>0</v>
      </c>
      <c r="K496" s="23">
        <f t="shared" si="20"/>
        <v>21989.000000000004</v>
      </c>
      <c r="L496" s="23">
        <v>0</v>
      </c>
      <c r="M496" s="23">
        <f t="shared" si="21"/>
        <v>21989.000000000004</v>
      </c>
      <c r="N496" s="58" t="s">
        <v>44</v>
      </c>
    </row>
    <row r="497" spans="1:14" ht="15.75" customHeight="1" x14ac:dyDescent="0.25">
      <c r="A497" s="459"/>
      <c r="B497" s="15" t="s">
        <v>58</v>
      </c>
      <c r="C497" s="52">
        <v>29.92</v>
      </c>
      <c r="D497" s="52">
        <v>9.8000000000000007</v>
      </c>
      <c r="E497" s="52">
        <f t="shared" si="23"/>
        <v>20.12</v>
      </c>
      <c r="F497" s="15" t="s">
        <v>35</v>
      </c>
      <c r="G497" s="15" t="s">
        <v>153</v>
      </c>
      <c r="H497" s="16">
        <v>1100</v>
      </c>
      <c r="I497" s="16">
        <f t="shared" si="19"/>
        <v>22132</v>
      </c>
      <c r="J497" s="16">
        <v>0</v>
      </c>
      <c r="K497" s="16">
        <f t="shared" si="20"/>
        <v>22132</v>
      </c>
      <c r="L497" s="16">
        <v>0</v>
      </c>
      <c r="M497" s="16">
        <f t="shared" si="21"/>
        <v>22132</v>
      </c>
      <c r="N497" s="65" t="s">
        <v>44</v>
      </c>
    </row>
    <row r="498" spans="1:14" ht="15.75" customHeight="1" x14ac:dyDescent="0.25">
      <c r="A498" s="457">
        <v>45815</v>
      </c>
      <c r="B498" s="12" t="s">
        <v>30</v>
      </c>
      <c r="C498" s="36">
        <v>28.27</v>
      </c>
      <c r="D498" s="36">
        <v>9.66</v>
      </c>
      <c r="E498" s="36">
        <f t="shared" si="23"/>
        <v>18.61</v>
      </c>
      <c r="F498" s="12" t="s">
        <v>35</v>
      </c>
      <c r="G498" s="12" t="s">
        <v>153</v>
      </c>
      <c r="H498" s="13">
        <v>1100</v>
      </c>
      <c r="I498" s="13">
        <f t="shared" si="19"/>
        <v>20471</v>
      </c>
      <c r="J498" s="13">
        <v>0</v>
      </c>
      <c r="K498" s="13">
        <f t="shared" si="20"/>
        <v>20471</v>
      </c>
      <c r="L498" s="13">
        <v>0</v>
      </c>
      <c r="M498" s="13">
        <f t="shared" si="21"/>
        <v>20471</v>
      </c>
      <c r="N498" s="64" t="s">
        <v>44</v>
      </c>
    </row>
    <row r="499" spans="1:14" ht="15.75" customHeight="1" x14ac:dyDescent="0.25">
      <c r="A499" s="458"/>
      <c r="B499" s="22" t="s">
        <v>67</v>
      </c>
      <c r="C499" s="37">
        <v>29.34</v>
      </c>
      <c r="D499" s="37">
        <v>9.6300000000000008</v>
      </c>
      <c r="E499" s="37">
        <f t="shared" si="23"/>
        <v>19.71</v>
      </c>
      <c r="F499" s="22" t="s">
        <v>35</v>
      </c>
      <c r="G499" s="22" t="s">
        <v>153</v>
      </c>
      <c r="H499" s="23">
        <v>1100</v>
      </c>
      <c r="I499" s="23">
        <f t="shared" si="19"/>
        <v>21681</v>
      </c>
      <c r="J499" s="23">
        <v>0</v>
      </c>
      <c r="K499" s="23">
        <f t="shared" si="20"/>
        <v>21681</v>
      </c>
      <c r="L499" s="23">
        <v>0</v>
      </c>
      <c r="M499" s="23">
        <f t="shared" si="21"/>
        <v>21681</v>
      </c>
      <c r="N499" s="58" t="s">
        <v>44</v>
      </c>
    </row>
    <row r="500" spans="1:14" ht="15.75" customHeight="1" x14ac:dyDescent="0.25">
      <c r="A500" s="458"/>
      <c r="B500" s="22" t="s">
        <v>51</v>
      </c>
      <c r="C500" s="37">
        <v>30.69</v>
      </c>
      <c r="D500" s="37">
        <v>9.76</v>
      </c>
      <c r="E500" s="37">
        <f t="shared" si="23"/>
        <v>20.93</v>
      </c>
      <c r="F500" s="22" t="s">
        <v>38</v>
      </c>
      <c r="G500" s="22" t="s">
        <v>153</v>
      </c>
      <c r="H500" s="23">
        <v>500</v>
      </c>
      <c r="I500" s="23">
        <f t="shared" si="19"/>
        <v>10465</v>
      </c>
      <c r="J500" s="23">
        <v>0</v>
      </c>
      <c r="K500" s="23">
        <f t="shared" si="20"/>
        <v>10465</v>
      </c>
      <c r="L500" s="23">
        <v>0</v>
      </c>
      <c r="M500" s="23">
        <f t="shared" si="21"/>
        <v>10465</v>
      </c>
      <c r="N500" s="58" t="s">
        <v>44</v>
      </c>
    </row>
    <row r="501" spans="1:14" ht="15.75" customHeight="1" x14ac:dyDescent="0.25">
      <c r="A501" s="458"/>
      <c r="B501" s="22" t="s">
        <v>22</v>
      </c>
      <c r="C501" s="37">
        <v>30.54</v>
      </c>
      <c r="D501" s="37">
        <v>9.83</v>
      </c>
      <c r="E501" s="37">
        <f t="shared" si="23"/>
        <v>20.71</v>
      </c>
      <c r="F501" s="22" t="s">
        <v>38</v>
      </c>
      <c r="G501" s="22" t="s">
        <v>153</v>
      </c>
      <c r="H501" s="23">
        <v>500</v>
      </c>
      <c r="I501" s="23">
        <f t="shared" si="19"/>
        <v>10355</v>
      </c>
      <c r="J501" s="23">
        <v>0</v>
      </c>
      <c r="K501" s="23">
        <f t="shared" si="20"/>
        <v>10355</v>
      </c>
      <c r="L501" s="23">
        <v>0</v>
      </c>
      <c r="M501" s="23">
        <f t="shared" si="21"/>
        <v>10355</v>
      </c>
      <c r="N501" s="58" t="s">
        <v>44</v>
      </c>
    </row>
    <row r="502" spans="1:14" ht="15.75" customHeight="1" x14ac:dyDescent="0.25">
      <c r="A502" s="458"/>
      <c r="B502" s="22" t="s">
        <v>58</v>
      </c>
      <c r="C502" s="37">
        <v>29.13</v>
      </c>
      <c r="D502" s="37">
        <v>9.81</v>
      </c>
      <c r="E502" s="37">
        <f t="shared" si="23"/>
        <v>19.32</v>
      </c>
      <c r="F502" s="22" t="s">
        <v>38</v>
      </c>
      <c r="G502" s="22" t="s">
        <v>153</v>
      </c>
      <c r="H502" s="23">
        <v>500</v>
      </c>
      <c r="I502" s="23">
        <f t="shared" si="19"/>
        <v>9660</v>
      </c>
      <c r="J502" s="23">
        <v>0</v>
      </c>
      <c r="K502" s="23">
        <f t="shared" si="20"/>
        <v>9660</v>
      </c>
      <c r="L502" s="23">
        <v>0</v>
      </c>
      <c r="M502" s="23">
        <f t="shared" si="21"/>
        <v>9660</v>
      </c>
      <c r="N502" s="58" t="s">
        <v>44</v>
      </c>
    </row>
    <row r="503" spans="1:14" ht="15.75" customHeight="1" x14ac:dyDescent="0.25">
      <c r="A503" s="458"/>
      <c r="B503" s="22" t="s">
        <v>166</v>
      </c>
      <c r="C503" s="37">
        <v>29.86</v>
      </c>
      <c r="D503" s="37">
        <v>9.6199999999999992</v>
      </c>
      <c r="E503" s="37">
        <f t="shared" si="23"/>
        <v>20.240000000000002</v>
      </c>
      <c r="F503" s="22" t="s">
        <v>35</v>
      </c>
      <c r="G503" s="22" t="s">
        <v>153</v>
      </c>
      <c r="H503" s="23">
        <v>1100</v>
      </c>
      <c r="I503" s="23">
        <f t="shared" si="19"/>
        <v>22264.000000000004</v>
      </c>
      <c r="J503" s="23">
        <v>0</v>
      </c>
      <c r="K503" s="23">
        <f t="shared" si="20"/>
        <v>22264.000000000004</v>
      </c>
      <c r="L503" s="23">
        <v>0</v>
      </c>
      <c r="M503" s="23">
        <f t="shared" si="21"/>
        <v>22264.000000000004</v>
      </c>
      <c r="N503" s="58" t="s">
        <v>44</v>
      </c>
    </row>
    <row r="504" spans="1:14" ht="15.75" customHeight="1" x14ac:dyDescent="0.25">
      <c r="A504" s="458"/>
      <c r="B504" s="22" t="s">
        <v>67</v>
      </c>
      <c r="C504" s="37">
        <v>28.72</v>
      </c>
      <c r="D504" s="37">
        <v>9.6199999999999992</v>
      </c>
      <c r="E504" s="37">
        <f t="shared" si="23"/>
        <v>19.100000000000001</v>
      </c>
      <c r="F504" s="22" t="s">
        <v>38</v>
      </c>
      <c r="G504" s="22" t="s">
        <v>153</v>
      </c>
      <c r="H504" s="23">
        <v>500</v>
      </c>
      <c r="I504" s="23">
        <f t="shared" si="19"/>
        <v>9550</v>
      </c>
      <c r="J504" s="23">
        <v>0</v>
      </c>
      <c r="K504" s="23">
        <f t="shared" si="20"/>
        <v>9550</v>
      </c>
      <c r="L504" s="23">
        <v>0</v>
      </c>
      <c r="M504" s="23">
        <f t="shared" si="21"/>
        <v>9550</v>
      </c>
      <c r="N504" s="58" t="s">
        <v>44</v>
      </c>
    </row>
    <row r="505" spans="1:14" ht="15.75" customHeight="1" x14ac:dyDescent="0.25">
      <c r="A505" s="458"/>
      <c r="B505" s="22" t="s">
        <v>51</v>
      </c>
      <c r="C505" s="37">
        <v>28.85</v>
      </c>
      <c r="D505" s="37">
        <v>9.81</v>
      </c>
      <c r="E505" s="37">
        <f t="shared" si="23"/>
        <v>19.04</v>
      </c>
      <c r="F505" s="22" t="s">
        <v>38</v>
      </c>
      <c r="G505" s="22" t="s">
        <v>153</v>
      </c>
      <c r="H505" s="23">
        <v>500</v>
      </c>
      <c r="I505" s="23">
        <f t="shared" si="19"/>
        <v>9520</v>
      </c>
      <c r="J505" s="23">
        <v>0</v>
      </c>
      <c r="K505" s="23">
        <f t="shared" si="20"/>
        <v>9520</v>
      </c>
      <c r="L505" s="23">
        <v>0</v>
      </c>
      <c r="M505" s="23">
        <f t="shared" si="21"/>
        <v>9520</v>
      </c>
      <c r="N505" s="58" t="s">
        <v>44</v>
      </c>
    </row>
    <row r="506" spans="1:14" ht="15.75" customHeight="1" x14ac:dyDescent="0.25">
      <c r="A506" s="458"/>
      <c r="B506" s="22" t="s">
        <v>30</v>
      </c>
      <c r="C506" s="37">
        <v>29.02</v>
      </c>
      <c r="D506" s="37">
        <v>9.6300000000000008</v>
      </c>
      <c r="E506" s="37">
        <f t="shared" si="23"/>
        <v>19.39</v>
      </c>
      <c r="F506" s="22" t="s">
        <v>38</v>
      </c>
      <c r="G506" s="22" t="s">
        <v>153</v>
      </c>
      <c r="H506" s="23">
        <v>500</v>
      </c>
      <c r="I506" s="23">
        <f t="shared" si="19"/>
        <v>9695</v>
      </c>
      <c r="J506" s="23">
        <v>0</v>
      </c>
      <c r="K506" s="23">
        <f t="shared" si="20"/>
        <v>9695</v>
      </c>
      <c r="L506" s="23">
        <v>0</v>
      </c>
      <c r="M506" s="23">
        <f t="shared" si="21"/>
        <v>9695</v>
      </c>
      <c r="N506" s="58" t="s">
        <v>44</v>
      </c>
    </row>
    <row r="507" spans="1:14" ht="15.75" customHeight="1" x14ac:dyDescent="0.25">
      <c r="A507" s="458"/>
      <c r="B507" s="22" t="s">
        <v>58</v>
      </c>
      <c r="C507" s="37">
        <v>28.88</v>
      </c>
      <c r="D507" s="37">
        <v>9.8000000000000007</v>
      </c>
      <c r="E507" s="37">
        <f t="shared" si="23"/>
        <v>19.079999999999998</v>
      </c>
      <c r="F507" s="22" t="s">
        <v>38</v>
      </c>
      <c r="G507" s="22" t="s">
        <v>153</v>
      </c>
      <c r="H507" s="23">
        <v>500</v>
      </c>
      <c r="I507" s="23">
        <f t="shared" si="19"/>
        <v>9540</v>
      </c>
      <c r="J507" s="23">
        <v>0</v>
      </c>
      <c r="K507" s="23">
        <f t="shared" si="20"/>
        <v>9540</v>
      </c>
      <c r="L507" s="23">
        <v>0</v>
      </c>
      <c r="M507" s="23">
        <f t="shared" si="21"/>
        <v>9540</v>
      </c>
      <c r="N507" s="58" t="s">
        <v>44</v>
      </c>
    </row>
    <row r="508" spans="1:14" ht="15.75" customHeight="1" x14ac:dyDescent="0.25">
      <c r="A508" s="458"/>
      <c r="B508" s="22" t="s">
        <v>22</v>
      </c>
      <c r="C508" s="37">
        <v>29.81</v>
      </c>
      <c r="D508" s="37">
        <v>9.86</v>
      </c>
      <c r="E508" s="37">
        <f t="shared" si="23"/>
        <v>19.95</v>
      </c>
      <c r="F508" s="22" t="s">
        <v>38</v>
      </c>
      <c r="G508" s="22" t="s">
        <v>153</v>
      </c>
      <c r="H508" s="23">
        <v>500</v>
      </c>
      <c r="I508" s="23">
        <f t="shared" si="19"/>
        <v>9975</v>
      </c>
      <c r="J508" s="23">
        <v>0</v>
      </c>
      <c r="K508" s="23">
        <f t="shared" si="20"/>
        <v>9975</v>
      </c>
      <c r="L508" s="23">
        <v>0</v>
      </c>
      <c r="M508" s="23">
        <f t="shared" si="21"/>
        <v>9975</v>
      </c>
      <c r="N508" s="58" t="s">
        <v>44</v>
      </c>
    </row>
    <row r="509" spans="1:14" ht="15.75" customHeight="1" x14ac:dyDescent="0.25">
      <c r="A509" s="458"/>
      <c r="B509" s="22" t="s">
        <v>47</v>
      </c>
      <c r="C509" s="37">
        <v>28.96</v>
      </c>
      <c r="D509" s="37">
        <v>9.6199999999999992</v>
      </c>
      <c r="E509" s="37">
        <f t="shared" si="23"/>
        <v>19.340000000000003</v>
      </c>
      <c r="F509" s="22" t="s">
        <v>23</v>
      </c>
      <c r="G509" s="22" t="s">
        <v>155</v>
      </c>
      <c r="H509" s="23">
        <v>1300</v>
      </c>
      <c r="I509" s="23">
        <f t="shared" si="19"/>
        <v>25142.000000000004</v>
      </c>
      <c r="J509" s="23">
        <v>0</v>
      </c>
      <c r="K509" s="23">
        <f t="shared" si="20"/>
        <v>25142.000000000004</v>
      </c>
      <c r="L509" s="23">
        <v>0</v>
      </c>
      <c r="M509" s="23">
        <f t="shared" si="21"/>
        <v>25142.000000000004</v>
      </c>
      <c r="N509" s="58" t="s">
        <v>44</v>
      </c>
    </row>
    <row r="510" spans="1:14" ht="15.75" customHeight="1" x14ac:dyDescent="0.25">
      <c r="A510" s="458"/>
      <c r="B510" s="33" t="s">
        <v>47</v>
      </c>
      <c r="C510" s="39">
        <v>19.48</v>
      </c>
      <c r="D510" s="39">
        <v>9.61</v>
      </c>
      <c r="E510" s="39">
        <f t="shared" si="23"/>
        <v>9.870000000000001</v>
      </c>
      <c r="F510" s="33" t="s">
        <v>23</v>
      </c>
      <c r="G510" s="33" t="s">
        <v>167</v>
      </c>
      <c r="H510" s="34">
        <v>1300</v>
      </c>
      <c r="I510" s="34">
        <f t="shared" si="19"/>
        <v>12831.000000000002</v>
      </c>
      <c r="J510" s="34">
        <v>0</v>
      </c>
      <c r="K510" s="34">
        <f t="shared" si="20"/>
        <v>12831.000000000002</v>
      </c>
      <c r="L510" s="34">
        <v>0</v>
      </c>
      <c r="M510" s="34">
        <f t="shared" si="21"/>
        <v>12831.000000000002</v>
      </c>
      <c r="N510" s="63" t="s">
        <v>25</v>
      </c>
    </row>
    <row r="511" spans="1:14" ht="15.75" customHeight="1" x14ac:dyDescent="0.25">
      <c r="A511" s="457">
        <v>45816</v>
      </c>
      <c r="B511" s="12" t="s">
        <v>47</v>
      </c>
      <c r="C511" s="36">
        <v>29.72</v>
      </c>
      <c r="D511" s="36">
        <v>9.66</v>
      </c>
      <c r="E511" s="36">
        <f t="shared" si="23"/>
        <v>20.059999999999999</v>
      </c>
      <c r="F511" s="12" t="s">
        <v>38</v>
      </c>
      <c r="G511" s="12" t="s">
        <v>168</v>
      </c>
      <c r="H511" s="13">
        <v>500</v>
      </c>
      <c r="I511" s="13">
        <f t="shared" si="19"/>
        <v>10030</v>
      </c>
      <c r="J511" s="13">
        <v>1000</v>
      </c>
      <c r="K511" s="13">
        <f t="shared" si="20"/>
        <v>11030</v>
      </c>
      <c r="L511" s="13">
        <v>30</v>
      </c>
      <c r="M511" s="13">
        <f t="shared" si="21"/>
        <v>11000</v>
      </c>
      <c r="N511" s="14" t="s">
        <v>25</v>
      </c>
    </row>
    <row r="512" spans="1:14" ht="15.75" customHeight="1" x14ac:dyDescent="0.25">
      <c r="A512" s="460"/>
      <c r="B512" s="33" t="s">
        <v>47</v>
      </c>
      <c r="C512" s="39">
        <v>28.25</v>
      </c>
      <c r="D512" s="39">
        <v>9.6300000000000008</v>
      </c>
      <c r="E512" s="39">
        <f t="shared" si="23"/>
        <v>18.619999999999997</v>
      </c>
      <c r="F512" s="33" t="s">
        <v>23</v>
      </c>
      <c r="G512" s="33" t="s">
        <v>155</v>
      </c>
      <c r="H512" s="34">
        <v>1300</v>
      </c>
      <c r="I512" s="34">
        <f t="shared" si="19"/>
        <v>24205.999999999996</v>
      </c>
      <c r="J512" s="34">
        <v>0</v>
      </c>
      <c r="K512" s="34">
        <f t="shared" si="20"/>
        <v>24205.999999999996</v>
      </c>
      <c r="L512" s="34">
        <v>0</v>
      </c>
      <c r="M512" s="34">
        <f t="shared" si="21"/>
        <v>24205.999999999996</v>
      </c>
      <c r="N512" s="35" t="s">
        <v>44</v>
      </c>
    </row>
    <row r="513" spans="1:14" ht="15.75" customHeight="1" x14ac:dyDescent="0.25">
      <c r="A513" s="457">
        <v>45817</v>
      </c>
      <c r="B513" s="12" t="s">
        <v>47</v>
      </c>
      <c r="C513" s="36">
        <v>20.47</v>
      </c>
      <c r="D513" s="36">
        <v>9.61</v>
      </c>
      <c r="E513" s="36">
        <f t="shared" si="23"/>
        <v>10.86</v>
      </c>
      <c r="F513" s="12" t="s">
        <v>23</v>
      </c>
      <c r="G513" s="12" t="s">
        <v>157</v>
      </c>
      <c r="H513" s="13">
        <v>1350</v>
      </c>
      <c r="I513" s="13">
        <f t="shared" si="19"/>
        <v>14661</v>
      </c>
      <c r="J513" s="13">
        <v>2000</v>
      </c>
      <c r="K513" s="13">
        <f t="shared" si="20"/>
        <v>16661</v>
      </c>
      <c r="L513" s="13">
        <v>1</v>
      </c>
      <c r="M513" s="13">
        <f t="shared" si="21"/>
        <v>16660</v>
      </c>
      <c r="N513" s="14" t="s">
        <v>25</v>
      </c>
    </row>
    <row r="514" spans="1:14" ht="15.75" customHeight="1" x14ac:dyDescent="0.25">
      <c r="A514" s="458"/>
      <c r="B514" s="22" t="s">
        <v>47</v>
      </c>
      <c r="C514" s="37">
        <v>21.75</v>
      </c>
      <c r="D514" s="37">
        <v>9.6300000000000008</v>
      </c>
      <c r="E514" s="37">
        <f t="shared" si="23"/>
        <v>12.12</v>
      </c>
      <c r="F514" s="22" t="s">
        <v>23</v>
      </c>
      <c r="G514" s="22" t="s">
        <v>169</v>
      </c>
      <c r="H514" s="23">
        <v>1350</v>
      </c>
      <c r="I514" s="23">
        <f t="shared" si="19"/>
        <v>16361.999999999998</v>
      </c>
      <c r="J514" s="23">
        <v>2000</v>
      </c>
      <c r="K514" s="23">
        <f t="shared" si="20"/>
        <v>18362</v>
      </c>
      <c r="L514" s="23">
        <v>162</v>
      </c>
      <c r="M514" s="23">
        <f t="shared" si="21"/>
        <v>18200</v>
      </c>
      <c r="N514" s="24" t="s">
        <v>20</v>
      </c>
    </row>
    <row r="515" spans="1:14" ht="15.75" customHeight="1" x14ac:dyDescent="0.25">
      <c r="A515" s="460"/>
      <c r="B515" s="33" t="s">
        <v>40</v>
      </c>
      <c r="C515" s="39">
        <v>6.98</v>
      </c>
      <c r="D515" s="39">
        <v>3.14</v>
      </c>
      <c r="E515" s="39">
        <f t="shared" si="23"/>
        <v>3.8400000000000003</v>
      </c>
      <c r="F515" s="33" t="s">
        <v>23</v>
      </c>
      <c r="G515" s="33" t="s">
        <v>158</v>
      </c>
      <c r="H515" s="34">
        <v>1350</v>
      </c>
      <c r="I515" s="34">
        <f t="shared" si="19"/>
        <v>5184</v>
      </c>
      <c r="J515" s="34">
        <v>0</v>
      </c>
      <c r="K515" s="34">
        <f t="shared" si="20"/>
        <v>5184</v>
      </c>
      <c r="L515" s="34">
        <v>4</v>
      </c>
      <c r="M515" s="34">
        <f t="shared" si="21"/>
        <v>5180</v>
      </c>
      <c r="N515" s="35" t="s">
        <v>20</v>
      </c>
    </row>
    <row r="516" spans="1:14" ht="15.75" customHeight="1" x14ac:dyDescent="0.25">
      <c r="A516" s="457">
        <v>45818</v>
      </c>
      <c r="B516" s="12" t="s">
        <v>47</v>
      </c>
      <c r="C516" s="36">
        <v>29.61</v>
      </c>
      <c r="D516" s="36">
        <v>9.65</v>
      </c>
      <c r="E516" s="36">
        <f t="shared" si="23"/>
        <v>19.96</v>
      </c>
      <c r="F516" s="12" t="s">
        <v>26</v>
      </c>
      <c r="G516" s="12" t="s">
        <v>57</v>
      </c>
      <c r="H516" s="13">
        <v>1365</v>
      </c>
      <c r="I516" s="13">
        <f t="shared" si="19"/>
        <v>27245.4</v>
      </c>
      <c r="J516" s="13">
        <v>0</v>
      </c>
      <c r="K516" s="13">
        <f t="shared" si="20"/>
        <v>27245.4</v>
      </c>
      <c r="L516" s="13">
        <v>0</v>
      </c>
      <c r="M516" s="13">
        <f t="shared" si="21"/>
        <v>27245.4</v>
      </c>
      <c r="N516" s="14" t="s">
        <v>44</v>
      </c>
    </row>
    <row r="517" spans="1:14" ht="15.75" customHeight="1" x14ac:dyDescent="0.25">
      <c r="A517" s="458"/>
      <c r="B517" s="22" t="s">
        <v>67</v>
      </c>
      <c r="C517" s="37">
        <v>30.78</v>
      </c>
      <c r="D517" s="37">
        <v>9.64</v>
      </c>
      <c r="E517" s="37">
        <f t="shared" si="23"/>
        <v>21.14</v>
      </c>
      <c r="F517" s="22" t="s">
        <v>26</v>
      </c>
      <c r="G517" s="22" t="s">
        <v>57</v>
      </c>
      <c r="H517" s="23">
        <v>1365</v>
      </c>
      <c r="I517" s="23">
        <f t="shared" si="19"/>
        <v>28856.100000000002</v>
      </c>
      <c r="J517" s="23">
        <v>0</v>
      </c>
      <c r="K517" s="23">
        <f t="shared" si="20"/>
        <v>28856.100000000002</v>
      </c>
      <c r="L517" s="23">
        <v>0</v>
      </c>
      <c r="M517" s="23">
        <f t="shared" si="21"/>
        <v>28856.100000000002</v>
      </c>
      <c r="N517" s="24" t="s">
        <v>44</v>
      </c>
    </row>
    <row r="518" spans="1:14" ht="15.75" customHeight="1" x14ac:dyDescent="0.25">
      <c r="A518" s="458"/>
      <c r="B518" s="22" t="s">
        <v>22</v>
      </c>
      <c r="C518" s="37">
        <v>31.1</v>
      </c>
      <c r="D518" s="37">
        <v>9.85</v>
      </c>
      <c r="E518" s="37">
        <f t="shared" si="23"/>
        <v>21.25</v>
      </c>
      <c r="F518" s="22" t="s">
        <v>26</v>
      </c>
      <c r="G518" s="22" t="s">
        <v>57</v>
      </c>
      <c r="H518" s="23">
        <v>1365</v>
      </c>
      <c r="I518" s="23">
        <f t="shared" si="19"/>
        <v>29006.25</v>
      </c>
      <c r="J518" s="23">
        <v>0</v>
      </c>
      <c r="K518" s="23">
        <f t="shared" si="20"/>
        <v>29006.25</v>
      </c>
      <c r="L518" s="23">
        <v>0</v>
      </c>
      <c r="M518" s="23">
        <f t="shared" si="21"/>
        <v>29006.25</v>
      </c>
      <c r="N518" s="24" t="s">
        <v>44</v>
      </c>
    </row>
    <row r="519" spans="1:14" ht="15.75" customHeight="1" x14ac:dyDescent="0.25">
      <c r="A519" s="458"/>
      <c r="B519" s="22" t="s">
        <v>47</v>
      </c>
      <c r="C519" s="37">
        <v>27.74</v>
      </c>
      <c r="D519" s="37">
        <v>9.65</v>
      </c>
      <c r="E519" s="37">
        <f t="shared" si="23"/>
        <v>18.089999999999996</v>
      </c>
      <c r="F519" s="22" t="s">
        <v>26</v>
      </c>
      <c r="G519" s="22" t="s">
        <v>57</v>
      </c>
      <c r="H519" s="23">
        <v>1365</v>
      </c>
      <c r="I519" s="23">
        <f t="shared" si="19"/>
        <v>24692.849999999995</v>
      </c>
      <c r="J519" s="23">
        <v>0</v>
      </c>
      <c r="K519" s="23">
        <f t="shared" si="20"/>
        <v>24692.849999999995</v>
      </c>
      <c r="L519" s="23">
        <v>0</v>
      </c>
      <c r="M519" s="23">
        <f t="shared" si="21"/>
        <v>24692.849999999995</v>
      </c>
      <c r="N519" s="24" t="s">
        <v>44</v>
      </c>
    </row>
    <row r="520" spans="1:14" ht="15.75" customHeight="1" x14ac:dyDescent="0.25">
      <c r="A520" s="458"/>
      <c r="B520" s="22" t="s">
        <v>22</v>
      </c>
      <c r="C520" s="37">
        <v>28.47</v>
      </c>
      <c r="D520" s="37">
        <v>9.85</v>
      </c>
      <c r="E520" s="37">
        <f t="shared" si="23"/>
        <v>18.619999999999997</v>
      </c>
      <c r="F520" s="22" t="s">
        <v>26</v>
      </c>
      <c r="G520" s="22" t="s">
        <v>57</v>
      </c>
      <c r="H520" s="23">
        <v>1365</v>
      </c>
      <c r="I520" s="23">
        <f t="shared" si="19"/>
        <v>25416.299999999996</v>
      </c>
      <c r="J520" s="23">
        <v>0</v>
      </c>
      <c r="K520" s="23">
        <f t="shared" si="20"/>
        <v>25416.299999999996</v>
      </c>
      <c r="L520" s="23">
        <v>0</v>
      </c>
      <c r="M520" s="23">
        <f t="shared" si="21"/>
        <v>25416.299999999996</v>
      </c>
      <c r="N520" s="24" t="s">
        <v>44</v>
      </c>
    </row>
    <row r="521" spans="1:14" ht="15.75" customHeight="1" x14ac:dyDescent="0.25">
      <c r="A521" s="460"/>
      <c r="B521" s="33" t="s">
        <v>67</v>
      </c>
      <c r="C521" s="39">
        <v>29.02</v>
      </c>
      <c r="D521" s="39">
        <v>9.65</v>
      </c>
      <c r="E521" s="39">
        <f t="shared" si="23"/>
        <v>19.369999999999997</v>
      </c>
      <c r="F521" s="33" t="s">
        <v>26</v>
      </c>
      <c r="G521" s="33" t="s">
        <v>57</v>
      </c>
      <c r="H521" s="34">
        <v>1365</v>
      </c>
      <c r="I521" s="34">
        <f t="shared" si="19"/>
        <v>26440.049999999996</v>
      </c>
      <c r="J521" s="34">
        <v>0</v>
      </c>
      <c r="K521" s="34">
        <f t="shared" si="20"/>
        <v>26440.049999999996</v>
      </c>
      <c r="L521" s="34">
        <v>0</v>
      </c>
      <c r="M521" s="34">
        <f t="shared" si="21"/>
        <v>26440.049999999996</v>
      </c>
      <c r="N521" s="35" t="s">
        <v>44</v>
      </c>
    </row>
    <row r="522" spans="1:14" ht="15.75" customHeight="1" x14ac:dyDescent="0.25">
      <c r="A522" s="457">
        <v>45819</v>
      </c>
      <c r="B522" s="12" t="s">
        <v>47</v>
      </c>
      <c r="C522" s="36">
        <v>29.28</v>
      </c>
      <c r="D522" s="36">
        <v>9.64</v>
      </c>
      <c r="E522" s="36">
        <f t="shared" si="23"/>
        <v>19.64</v>
      </c>
      <c r="F522" s="12" t="s">
        <v>26</v>
      </c>
      <c r="G522" s="12" t="s">
        <v>57</v>
      </c>
      <c r="H522" s="13">
        <v>1365</v>
      </c>
      <c r="I522" s="13">
        <f t="shared" si="19"/>
        <v>26808.600000000002</v>
      </c>
      <c r="J522" s="13">
        <v>0</v>
      </c>
      <c r="K522" s="13">
        <f t="shared" si="20"/>
        <v>26808.600000000002</v>
      </c>
      <c r="L522" s="13">
        <v>0</v>
      </c>
      <c r="M522" s="13">
        <f t="shared" si="21"/>
        <v>26808.600000000002</v>
      </c>
      <c r="N522" s="14" t="s">
        <v>44</v>
      </c>
    </row>
    <row r="523" spans="1:14" ht="15.75" customHeight="1" x14ac:dyDescent="0.25">
      <c r="A523" s="458"/>
      <c r="B523" s="22" t="s">
        <v>22</v>
      </c>
      <c r="C523" s="37">
        <v>27.17</v>
      </c>
      <c r="D523" s="37">
        <v>9.85</v>
      </c>
      <c r="E523" s="37">
        <f t="shared" si="23"/>
        <v>17.32</v>
      </c>
      <c r="F523" s="22" t="s">
        <v>26</v>
      </c>
      <c r="G523" s="22" t="s">
        <v>57</v>
      </c>
      <c r="H523" s="23">
        <v>1365</v>
      </c>
      <c r="I523" s="23">
        <f t="shared" si="19"/>
        <v>23641.8</v>
      </c>
      <c r="J523" s="23">
        <v>0</v>
      </c>
      <c r="K523" s="23">
        <f t="shared" si="20"/>
        <v>23641.8</v>
      </c>
      <c r="L523" s="23">
        <v>0</v>
      </c>
      <c r="M523" s="23">
        <f t="shared" si="21"/>
        <v>23641.8</v>
      </c>
      <c r="N523" s="24" t="s">
        <v>44</v>
      </c>
    </row>
    <row r="524" spans="1:14" ht="15.75" customHeight="1" x14ac:dyDescent="0.25">
      <c r="A524" s="458"/>
      <c r="B524" s="22" t="s">
        <v>67</v>
      </c>
      <c r="C524" s="37">
        <v>28.06</v>
      </c>
      <c r="D524" s="37">
        <v>9.66</v>
      </c>
      <c r="E524" s="37">
        <f t="shared" si="23"/>
        <v>18.399999999999999</v>
      </c>
      <c r="F524" s="22" t="s">
        <v>26</v>
      </c>
      <c r="G524" s="22" t="s">
        <v>57</v>
      </c>
      <c r="H524" s="23">
        <v>1365</v>
      </c>
      <c r="I524" s="23">
        <f t="shared" si="19"/>
        <v>25115.999999999996</v>
      </c>
      <c r="J524" s="23">
        <v>0</v>
      </c>
      <c r="K524" s="23">
        <f t="shared" si="20"/>
        <v>25115.999999999996</v>
      </c>
      <c r="L524" s="23">
        <v>0</v>
      </c>
      <c r="M524" s="23">
        <f t="shared" si="21"/>
        <v>25115.999999999996</v>
      </c>
      <c r="N524" s="24" t="s">
        <v>44</v>
      </c>
    </row>
    <row r="525" spans="1:14" ht="15.75" customHeight="1" x14ac:dyDescent="0.25">
      <c r="A525" s="458"/>
      <c r="B525" s="22" t="s">
        <v>47</v>
      </c>
      <c r="C525" s="37">
        <v>29.5</v>
      </c>
      <c r="D525" s="37">
        <v>9.67</v>
      </c>
      <c r="E525" s="37">
        <f t="shared" si="23"/>
        <v>19.829999999999998</v>
      </c>
      <c r="F525" s="22" t="s">
        <v>26</v>
      </c>
      <c r="G525" s="22" t="s">
        <v>57</v>
      </c>
      <c r="H525" s="23">
        <v>1365</v>
      </c>
      <c r="I525" s="23">
        <f t="shared" si="19"/>
        <v>27067.949999999997</v>
      </c>
      <c r="J525" s="23">
        <v>0</v>
      </c>
      <c r="K525" s="23">
        <f t="shared" si="20"/>
        <v>27067.949999999997</v>
      </c>
      <c r="L525" s="23">
        <v>0</v>
      </c>
      <c r="M525" s="23">
        <f t="shared" si="21"/>
        <v>27067.949999999997</v>
      </c>
      <c r="N525" s="24" t="s">
        <v>44</v>
      </c>
    </row>
    <row r="526" spans="1:14" ht="15.75" customHeight="1" x14ac:dyDescent="0.25">
      <c r="A526" s="458"/>
      <c r="B526" s="22" t="s">
        <v>67</v>
      </c>
      <c r="C526" s="37">
        <v>28.23</v>
      </c>
      <c r="D526" s="37">
        <v>9.6999999999999993</v>
      </c>
      <c r="E526" s="37">
        <f t="shared" si="23"/>
        <v>18.53</v>
      </c>
      <c r="F526" s="22" t="s">
        <v>26</v>
      </c>
      <c r="G526" s="22" t="s">
        <v>156</v>
      </c>
      <c r="H526" s="23">
        <v>1225</v>
      </c>
      <c r="I526" s="23">
        <f t="shared" si="19"/>
        <v>22699.25</v>
      </c>
      <c r="J526" s="23">
        <v>0</v>
      </c>
      <c r="K526" s="23">
        <f t="shared" si="20"/>
        <v>22699.25</v>
      </c>
      <c r="L526" s="23">
        <v>0</v>
      </c>
      <c r="M526" s="23">
        <f t="shared" si="21"/>
        <v>22699.25</v>
      </c>
      <c r="N526" s="24" t="s">
        <v>44</v>
      </c>
    </row>
    <row r="527" spans="1:14" ht="15.75" customHeight="1" x14ac:dyDescent="0.25">
      <c r="A527" s="458"/>
      <c r="B527" s="22" t="s">
        <v>22</v>
      </c>
      <c r="C527" s="37">
        <v>27.6</v>
      </c>
      <c r="D527" s="37">
        <v>9.8800000000000008</v>
      </c>
      <c r="E527" s="37">
        <f t="shared" si="23"/>
        <v>17.72</v>
      </c>
      <c r="F527" s="22" t="s">
        <v>26</v>
      </c>
      <c r="G527" s="22" t="s">
        <v>156</v>
      </c>
      <c r="H527" s="23">
        <v>1225</v>
      </c>
      <c r="I527" s="23">
        <f t="shared" si="19"/>
        <v>21707</v>
      </c>
      <c r="J527" s="23">
        <v>0</v>
      </c>
      <c r="K527" s="23">
        <f t="shared" si="20"/>
        <v>21707</v>
      </c>
      <c r="L527" s="23">
        <v>0</v>
      </c>
      <c r="M527" s="23">
        <f t="shared" si="21"/>
        <v>21707</v>
      </c>
      <c r="N527" s="24" t="s">
        <v>44</v>
      </c>
    </row>
    <row r="528" spans="1:14" ht="15.75" customHeight="1" x14ac:dyDescent="0.25">
      <c r="A528" s="460"/>
      <c r="B528" s="33" t="s">
        <v>106</v>
      </c>
      <c r="C528" s="39">
        <v>15.12</v>
      </c>
      <c r="D528" s="39">
        <v>6.26</v>
      </c>
      <c r="E528" s="39">
        <f t="shared" si="23"/>
        <v>8.86</v>
      </c>
      <c r="F528" s="33" t="s">
        <v>35</v>
      </c>
      <c r="G528" s="33" t="s">
        <v>170</v>
      </c>
      <c r="H528" s="34">
        <v>1200</v>
      </c>
      <c r="I528" s="34">
        <f t="shared" si="19"/>
        <v>10632</v>
      </c>
      <c r="J528" s="34">
        <v>2000</v>
      </c>
      <c r="K528" s="34">
        <f t="shared" si="20"/>
        <v>12632</v>
      </c>
      <c r="L528" s="34">
        <v>32</v>
      </c>
      <c r="M528" s="34">
        <f t="shared" si="21"/>
        <v>12600</v>
      </c>
      <c r="N528" s="35" t="s">
        <v>25</v>
      </c>
    </row>
    <row r="529" spans="1:14" ht="15.75" customHeight="1" x14ac:dyDescent="0.25">
      <c r="A529" s="457">
        <v>45820</v>
      </c>
      <c r="B529" s="12" t="s">
        <v>47</v>
      </c>
      <c r="C529" s="36">
        <v>29.6</v>
      </c>
      <c r="D529" s="36">
        <v>9.66</v>
      </c>
      <c r="E529" s="36">
        <f t="shared" si="23"/>
        <v>19.940000000000001</v>
      </c>
      <c r="F529" s="12" t="s">
        <v>26</v>
      </c>
      <c r="G529" s="12" t="s">
        <v>156</v>
      </c>
      <c r="H529" s="13">
        <v>1225</v>
      </c>
      <c r="I529" s="13">
        <f t="shared" si="19"/>
        <v>24426.5</v>
      </c>
      <c r="J529" s="13">
        <v>0</v>
      </c>
      <c r="K529" s="13">
        <f t="shared" si="20"/>
        <v>24426.5</v>
      </c>
      <c r="L529" s="13">
        <v>0</v>
      </c>
      <c r="M529" s="13">
        <f t="shared" si="21"/>
        <v>24426.5</v>
      </c>
      <c r="N529" s="14" t="s">
        <v>44</v>
      </c>
    </row>
    <row r="530" spans="1:14" ht="15.75" customHeight="1" x14ac:dyDescent="0.25">
      <c r="A530" s="458"/>
      <c r="B530" s="22" t="s">
        <v>22</v>
      </c>
      <c r="C530" s="37">
        <v>28.96</v>
      </c>
      <c r="D530" s="37">
        <v>9.8699999999999992</v>
      </c>
      <c r="E530" s="37">
        <f t="shared" si="23"/>
        <v>19.090000000000003</v>
      </c>
      <c r="F530" s="22" t="s">
        <v>26</v>
      </c>
      <c r="G530" s="22" t="s">
        <v>156</v>
      </c>
      <c r="H530" s="23">
        <v>1225</v>
      </c>
      <c r="I530" s="23">
        <f t="shared" si="19"/>
        <v>23385.250000000004</v>
      </c>
      <c r="J530" s="23">
        <v>0</v>
      </c>
      <c r="K530" s="23">
        <f t="shared" si="20"/>
        <v>23385.250000000004</v>
      </c>
      <c r="L530" s="23">
        <v>0</v>
      </c>
      <c r="M530" s="23">
        <f t="shared" si="21"/>
        <v>23385.250000000004</v>
      </c>
      <c r="N530" s="24" t="s">
        <v>44</v>
      </c>
    </row>
    <row r="531" spans="1:14" ht="15.75" customHeight="1" x14ac:dyDescent="0.25">
      <c r="A531" s="458"/>
      <c r="B531" s="22" t="s">
        <v>67</v>
      </c>
      <c r="C531" s="37">
        <v>29.09</v>
      </c>
      <c r="D531" s="37">
        <v>9.6999999999999993</v>
      </c>
      <c r="E531" s="37">
        <f t="shared" si="23"/>
        <v>19.39</v>
      </c>
      <c r="F531" s="22" t="s">
        <v>26</v>
      </c>
      <c r="G531" s="22" t="s">
        <v>156</v>
      </c>
      <c r="H531" s="23">
        <v>1225</v>
      </c>
      <c r="I531" s="23">
        <f t="shared" si="19"/>
        <v>23752.75</v>
      </c>
      <c r="J531" s="23">
        <v>0</v>
      </c>
      <c r="K531" s="23">
        <f t="shared" si="20"/>
        <v>23752.75</v>
      </c>
      <c r="L531" s="23">
        <v>0</v>
      </c>
      <c r="M531" s="23">
        <f t="shared" si="21"/>
        <v>23752.75</v>
      </c>
      <c r="N531" s="24" t="s">
        <v>44</v>
      </c>
    </row>
    <row r="532" spans="1:14" ht="15.75" customHeight="1" x14ac:dyDescent="0.25">
      <c r="A532" s="458"/>
      <c r="B532" s="22" t="s">
        <v>106</v>
      </c>
      <c r="C532" s="37">
        <v>15.17</v>
      </c>
      <c r="D532" s="37">
        <v>6.25</v>
      </c>
      <c r="E532" s="37">
        <f t="shared" si="23"/>
        <v>8.92</v>
      </c>
      <c r="F532" s="22" t="s">
        <v>35</v>
      </c>
      <c r="G532" s="22" t="s">
        <v>170</v>
      </c>
      <c r="H532" s="23">
        <v>1200</v>
      </c>
      <c r="I532" s="23">
        <f t="shared" si="19"/>
        <v>10704</v>
      </c>
      <c r="J532" s="23">
        <v>0</v>
      </c>
      <c r="K532" s="23">
        <f t="shared" si="20"/>
        <v>10704</v>
      </c>
      <c r="L532" s="23">
        <v>4</v>
      </c>
      <c r="M532" s="23">
        <f t="shared" si="21"/>
        <v>10700</v>
      </c>
      <c r="N532" s="24" t="s">
        <v>25</v>
      </c>
    </row>
    <row r="533" spans="1:14" ht="15.75" customHeight="1" x14ac:dyDescent="0.25">
      <c r="A533" s="458"/>
      <c r="B533" s="22" t="s">
        <v>47</v>
      </c>
      <c r="C533" s="37">
        <v>28.8</v>
      </c>
      <c r="D533" s="37">
        <v>9.68</v>
      </c>
      <c r="E533" s="37">
        <f t="shared" si="23"/>
        <v>19.12</v>
      </c>
      <c r="F533" s="22" t="s">
        <v>26</v>
      </c>
      <c r="G533" s="22" t="s">
        <v>57</v>
      </c>
      <c r="H533" s="23">
        <v>1365</v>
      </c>
      <c r="I533" s="23">
        <f t="shared" si="19"/>
        <v>26098.800000000003</v>
      </c>
      <c r="J533" s="23">
        <v>0</v>
      </c>
      <c r="K533" s="23">
        <f t="shared" si="20"/>
        <v>26098.800000000003</v>
      </c>
      <c r="L533" s="23">
        <v>0</v>
      </c>
      <c r="M533" s="23">
        <f t="shared" si="21"/>
        <v>26098.800000000003</v>
      </c>
      <c r="N533" s="24" t="s">
        <v>44</v>
      </c>
    </row>
    <row r="534" spans="1:14" ht="15.75" customHeight="1" x14ac:dyDescent="0.25">
      <c r="A534" s="458"/>
      <c r="B534" s="22" t="s">
        <v>22</v>
      </c>
      <c r="C534" s="37">
        <v>29.03</v>
      </c>
      <c r="D534" s="37">
        <v>9.89</v>
      </c>
      <c r="E534" s="37">
        <f t="shared" si="23"/>
        <v>19.14</v>
      </c>
      <c r="F534" s="22" t="s">
        <v>26</v>
      </c>
      <c r="G534" s="22" t="s">
        <v>57</v>
      </c>
      <c r="H534" s="23">
        <v>1365</v>
      </c>
      <c r="I534" s="23">
        <f t="shared" si="19"/>
        <v>26126.100000000002</v>
      </c>
      <c r="J534" s="23">
        <v>0</v>
      </c>
      <c r="K534" s="23">
        <f t="shared" si="20"/>
        <v>26126.100000000002</v>
      </c>
      <c r="L534" s="23">
        <v>0</v>
      </c>
      <c r="M534" s="23">
        <f t="shared" si="21"/>
        <v>26126.100000000002</v>
      </c>
      <c r="N534" s="24" t="s">
        <v>44</v>
      </c>
    </row>
    <row r="535" spans="1:14" ht="15.75" customHeight="1" x14ac:dyDescent="0.25">
      <c r="A535" s="460"/>
      <c r="B535" s="33" t="s">
        <v>67</v>
      </c>
      <c r="C535" s="39">
        <v>29.14</v>
      </c>
      <c r="D535" s="39">
        <v>9.67</v>
      </c>
      <c r="E535" s="39">
        <f t="shared" si="23"/>
        <v>19.47</v>
      </c>
      <c r="F535" s="33" t="s">
        <v>26</v>
      </c>
      <c r="G535" s="33" t="s">
        <v>156</v>
      </c>
      <c r="H535" s="34">
        <v>1225</v>
      </c>
      <c r="I535" s="34">
        <f t="shared" si="19"/>
        <v>23850.75</v>
      </c>
      <c r="J535" s="34">
        <v>0</v>
      </c>
      <c r="K535" s="34">
        <f t="shared" si="20"/>
        <v>23850.75</v>
      </c>
      <c r="L535" s="34">
        <v>0</v>
      </c>
      <c r="M535" s="34">
        <f t="shared" si="21"/>
        <v>23850.75</v>
      </c>
      <c r="N535" s="35" t="s">
        <v>44</v>
      </c>
    </row>
    <row r="536" spans="1:14" ht="15.75" customHeight="1" x14ac:dyDescent="0.25">
      <c r="A536" s="457">
        <v>45821</v>
      </c>
      <c r="B536" s="12" t="s">
        <v>47</v>
      </c>
      <c r="C536" s="36">
        <v>26.34</v>
      </c>
      <c r="D536" s="36">
        <v>9.65</v>
      </c>
      <c r="E536" s="36">
        <f t="shared" si="23"/>
        <v>16.689999999999998</v>
      </c>
      <c r="F536" s="12" t="s">
        <v>26</v>
      </c>
      <c r="G536" s="12" t="s">
        <v>156</v>
      </c>
      <c r="H536" s="13">
        <v>1225</v>
      </c>
      <c r="I536" s="13">
        <f t="shared" si="19"/>
        <v>20445.249999999996</v>
      </c>
      <c r="J536" s="13">
        <v>0</v>
      </c>
      <c r="K536" s="13">
        <f t="shared" si="20"/>
        <v>20445.249999999996</v>
      </c>
      <c r="L536" s="13">
        <v>0</v>
      </c>
      <c r="M536" s="13">
        <f t="shared" si="21"/>
        <v>20445.249999999996</v>
      </c>
      <c r="N536" s="14" t="s">
        <v>44</v>
      </c>
    </row>
    <row r="537" spans="1:14" ht="15.75" customHeight="1" x14ac:dyDescent="0.25">
      <c r="A537" s="458"/>
      <c r="B537" s="22" t="s">
        <v>67</v>
      </c>
      <c r="C537" s="37">
        <v>28.92</v>
      </c>
      <c r="D537" s="37">
        <v>9.68</v>
      </c>
      <c r="E537" s="37">
        <f t="shared" si="23"/>
        <v>19.240000000000002</v>
      </c>
      <c r="F537" s="22" t="s">
        <v>26</v>
      </c>
      <c r="G537" s="22" t="s">
        <v>156</v>
      </c>
      <c r="H537" s="23">
        <v>1225</v>
      </c>
      <c r="I537" s="23">
        <f t="shared" si="19"/>
        <v>23569.000000000004</v>
      </c>
      <c r="J537" s="23">
        <v>0</v>
      </c>
      <c r="K537" s="23">
        <f t="shared" si="20"/>
        <v>23569.000000000004</v>
      </c>
      <c r="L537" s="23">
        <v>0</v>
      </c>
      <c r="M537" s="23">
        <f t="shared" si="21"/>
        <v>23569.000000000004</v>
      </c>
      <c r="N537" s="24" t="s">
        <v>44</v>
      </c>
    </row>
    <row r="538" spans="1:14" ht="15.75" customHeight="1" x14ac:dyDescent="0.25">
      <c r="A538" s="458"/>
      <c r="B538" s="22" t="s">
        <v>22</v>
      </c>
      <c r="C538" s="37">
        <v>27.1</v>
      </c>
      <c r="D538" s="37">
        <v>9.89</v>
      </c>
      <c r="E538" s="37">
        <f t="shared" si="23"/>
        <v>17.21</v>
      </c>
      <c r="F538" s="22" t="s">
        <v>26</v>
      </c>
      <c r="G538" s="22" t="s">
        <v>156</v>
      </c>
      <c r="H538" s="23">
        <v>1225</v>
      </c>
      <c r="I538" s="23">
        <f t="shared" si="19"/>
        <v>21082.25</v>
      </c>
      <c r="J538" s="23">
        <v>0</v>
      </c>
      <c r="K538" s="23">
        <f t="shared" si="20"/>
        <v>21082.25</v>
      </c>
      <c r="L538" s="23">
        <v>0</v>
      </c>
      <c r="M538" s="23">
        <f t="shared" si="21"/>
        <v>21082.25</v>
      </c>
      <c r="N538" s="24" t="s">
        <v>44</v>
      </c>
    </row>
    <row r="539" spans="1:14" ht="15.75" customHeight="1" x14ac:dyDescent="0.25">
      <c r="A539" s="458"/>
      <c r="B539" s="22" t="s">
        <v>58</v>
      </c>
      <c r="C539" s="37">
        <v>27.7</v>
      </c>
      <c r="D539" s="37">
        <v>9.84</v>
      </c>
      <c r="E539" s="37">
        <f t="shared" si="23"/>
        <v>17.86</v>
      </c>
      <c r="F539" s="22" t="s">
        <v>26</v>
      </c>
      <c r="G539" s="22" t="s">
        <v>57</v>
      </c>
      <c r="H539" s="23">
        <v>1365</v>
      </c>
      <c r="I539" s="23">
        <f t="shared" si="19"/>
        <v>24378.899999999998</v>
      </c>
      <c r="J539" s="23">
        <v>0</v>
      </c>
      <c r="K539" s="23">
        <f t="shared" si="20"/>
        <v>24378.899999999998</v>
      </c>
      <c r="L539" s="23">
        <v>0</v>
      </c>
      <c r="M539" s="23">
        <f t="shared" si="21"/>
        <v>24378.899999999998</v>
      </c>
      <c r="N539" s="24" t="s">
        <v>44</v>
      </c>
    </row>
    <row r="540" spans="1:14" ht="15.75" customHeight="1" x14ac:dyDescent="0.25">
      <c r="A540" s="458"/>
      <c r="B540" s="22" t="s">
        <v>88</v>
      </c>
      <c r="C540" s="37">
        <v>28.12</v>
      </c>
      <c r="D540" s="37">
        <v>10.24</v>
      </c>
      <c r="E540" s="37">
        <f t="shared" si="23"/>
        <v>17.880000000000003</v>
      </c>
      <c r="F540" s="22" t="s">
        <v>26</v>
      </c>
      <c r="G540" s="22" t="s">
        <v>57</v>
      </c>
      <c r="H540" s="23">
        <v>1365</v>
      </c>
      <c r="I540" s="23">
        <f t="shared" si="19"/>
        <v>24406.200000000004</v>
      </c>
      <c r="J540" s="23">
        <v>0</v>
      </c>
      <c r="K540" s="23">
        <f t="shared" si="20"/>
        <v>24406.200000000004</v>
      </c>
      <c r="L540" s="23">
        <v>0</v>
      </c>
      <c r="M540" s="23">
        <f t="shared" si="21"/>
        <v>24406.200000000004</v>
      </c>
      <c r="N540" s="24" t="s">
        <v>44</v>
      </c>
    </row>
    <row r="541" spans="1:14" ht="15.75" customHeight="1" x14ac:dyDescent="0.25">
      <c r="A541" s="460"/>
      <c r="B541" s="33" t="s">
        <v>171</v>
      </c>
      <c r="C541" s="39">
        <v>4.08</v>
      </c>
      <c r="D541" s="39">
        <v>3.02</v>
      </c>
      <c r="E541" s="39">
        <f t="shared" si="23"/>
        <v>1.06</v>
      </c>
      <c r="F541" s="33" t="s">
        <v>172</v>
      </c>
      <c r="G541" s="33" t="s">
        <v>173</v>
      </c>
      <c r="H541" s="34" t="s">
        <v>174</v>
      </c>
      <c r="I541" s="33">
        <v>1812</v>
      </c>
      <c r="J541" s="34">
        <v>0</v>
      </c>
      <c r="K541" s="33">
        <v>1812</v>
      </c>
      <c r="L541" s="34">
        <v>2</v>
      </c>
      <c r="M541" s="34">
        <f t="shared" si="21"/>
        <v>1810</v>
      </c>
      <c r="N541" s="35" t="s">
        <v>25</v>
      </c>
    </row>
    <row r="542" spans="1:14" ht="15.75" customHeight="1" x14ac:dyDescent="0.25">
      <c r="A542" s="457">
        <v>45824</v>
      </c>
      <c r="B542" s="12" t="s">
        <v>88</v>
      </c>
      <c r="C542" s="36">
        <v>31.04</v>
      </c>
      <c r="D542" s="36">
        <v>10.23</v>
      </c>
      <c r="E542" s="36">
        <f t="shared" si="23"/>
        <v>20.81</v>
      </c>
      <c r="F542" s="12" t="s">
        <v>38</v>
      </c>
      <c r="G542" s="12" t="s">
        <v>153</v>
      </c>
      <c r="H542" s="13">
        <v>500</v>
      </c>
      <c r="I542" s="13">
        <f t="shared" ref="I542:I620" si="24">E542*H542</f>
        <v>10405</v>
      </c>
      <c r="J542" s="13">
        <v>0</v>
      </c>
      <c r="K542" s="13">
        <f t="shared" ref="K542:K620" si="25">I542+J542</f>
        <v>10405</v>
      </c>
      <c r="L542" s="13">
        <v>0</v>
      </c>
      <c r="M542" s="13">
        <f t="shared" si="21"/>
        <v>10405</v>
      </c>
      <c r="N542" s="64" t="s">
        <v>44</v>
      </c>
    </row>
    <row r="543" spans="1:14" ht="15.75" customHeight="1" x14ac:dyDescent="0.25">
      <c r="A543" s="458"/>
      <c r="B543" s="22" t="s">
        <v>42</v>
      </c>
      <c r="C543" s="37">
        <v>29.3</v>
      </c>
      <c r="D543" s="37">
        <v>9.64</v>
      </c>
      <c r="E543" s="37">
        <f t="shared" si="23"/>
        <v>19.66</v>
      </c>
      <c r="F543" s="22" t="s">
        <v>38</v>
      </c>
      <c r="G543" s="22" t="s">
        <v>153</v>
      </c>
      <c r="H543" s="23">
        <v>500</v>
      </c>
      <c r="I543" s="23">
        <f t="shared" si="24"/>
        <v>9830</v>
      </c>
      <c r="J543" s="23">
        <v>0</v>
      </c>
      <c r="K543" s="23">
        <f t="shared" si="25"/>
        <v>9830</v>
      </c>
      <c r="L543" s="23">
        <v>0</v>
      </c>
      <c r="M543" s="23">
        <f t="shared" si="21"/>
        <v>9830</v>
      </c>
      <c r="N543" s="58" t="s">
        <v>44</v>
      </c>
    </row>
    <row r="544" spans="1:14" ht="15.75" customHeight="1" x14ac:dyDescent="0.25">
      <c r="A544" s="458"/>
      <c r="B544" s="22" t="s">
        <v>115</v>
      </c>
      <c r="C544" s="37">
        <v>29.55</v>
      </c>
      <c r="D544" s="37">
        <v>9.83</v>
      </c>
      <c r="E544" s="37">
        <f t="shared" si="23"/>
        <v>19.72</v>
      </c>
      <c r="F544" s="22" t="s">
        <v>38</v>
      </c>
      <c r="G544" s="22" t="s">
        <v>153</v>
      </c>
      <c r="H544" s="23">
        <v>500</v>
      </c>
      <c r="I544" s="23">
        <f t="shared" si="24"/>
        <v>9860</v>
      </c>
      <c r="J544" s="23">
        <v>0</v>
      </c>
      <c r="K544" s="23">
        <f t="shared" si="25"/>
        <v>9860</v>
      </c>
      <c r="L544" s="23">
        <v>0</v>
      </c>
      <c r="M544" s="23">
        <f t="shared" si="21"/>
        <v>9860</v>
      </c>
      <c r="N544" s="58" t="s">
        <v>44</v>
      </c>
    </row>
    <row r="545" spans="1:14" ht="15.75" customHeight="1" x14ac:dyDescent="0.25">
      <c r="A545" s="458"/>
      <c r="B545" s="22" t="s">
        <v>67</v>
      </c>
      <c r="C545" s="37">
        <v>30.29</v>
      </c>
      <c r="D545" s="37">
        <v>9.7100000000000009</v>
      </c>
      <c r="E545" s="37">
        <f t="shared" si="23"/>
        <v>20.58</v>
      </c>
      <c r="F545" s="22" t="s">
        <v>38</v>
      </c>
      <c r="G545" s="22" t="s">
        <v>153</v>
      </c>
      <c r="H545" s="23">
        <v>500</v>
      </c>
      <c r="I545" s="23">
        <f t="shared" si="24"/>
        <v>10290</v>
      </c>
      <c r="J545" s="23">
        <v>0</v>
      </c>
      <c r="K545" s="23">
        <f t="shared" si="25"/>
        <v>10290</v>
      </c>
      <c r="L545" s="23">
        <v>0</v>
      </c>
      <c r="M545" s="23">
        <f t="shared" si="21"/>
        <v>10290</v>
      </c>
      <c r="N545" s="58" t="s">
        <v>44</v>
      </c>
    </row>
    <row r="546" spans="1:14" ht="15.75" customHeight="1" x14ac:dyDescent="0.25">
      <c r="A546" s="458"/>
      <c r="B546" s="22" t="s">
        <v>51</v>
      </c>
      <c r="C546" s="37">
        <v>31.43</v>
      </c>
      <c r="D546" s="37">
        <v>9.84</v>
      </c>
      <c r="E546" s="37">
        <f t="shared" si="23"/>
        <v>21.59</v>
      </c>
      <c r="F546" s="22" t="s">
        <v>38</v>
      </c>
      <c r="G546" s="22" t="s">
        <v>153</v>
      </c>
      <c r="H546" s="23">
        <v>500</v>
      </c>
      <c r="I546" s="23">
        <f t="shared" si="24"/>
        <v>10795</v>
      </c>
      <c r="J546" s="23">
        <v>0</v>
      </c>
      <c r="K546" s="23">
        <f t="shared" si="25"/>
        <v>10795</v>
      </c>
      <c r="L546" s="23">
        <v>0</v>
      </c>
      <c r="M546" s="23">
        <f t="shared" si="21"/>
        <v>10795</v>
      </c>
      <c r="N546" s="58" t="s">
        <v>44</v>
      </c>
    </row>
    <row r="547" spans="1:14" ht="15.75" customHeight="1" x14ac:dyDescent="0.25">
      <c r="A547" s="458"/>
      <c r="B547" s="22" t="s">
        <v>88</v>
      </c>
      <c r="C547" s="37">
        <v>28.27</v>
      </c>
      <c r="D547" s="37">
        <v>10.42</v>
      </c>
      <c r="E547" s="37">
        <f t="shared" si="23"/>
        <v>17.850000000000001</v>
      </c>
      <c r="F547" s="22" t="s">
        <v>38</v>
      </c>
      <c r="G547" s="22" t="s">
        <v>153</v>
      </c>
      <c r="H547" s="23">
        <v>500</v>
      </c>
      <c r="I547" s="23">
        <f t="shared" si="24"/>
        <v>8925</v>
      </c>
      <c r="J547" s="23">
        <v>0</v>
      </c>
      <c r="K547" s="23">
        <f t="shared" si="25"/>
        <v>8925</v>
      </c>
      <c r="L547" s="23">
        <v>0</v>
      </c>
      <c r="M547" s="23">
        <f t="shared" si="21"/>
        <v>8925</v>
      </c>
      <c r="N547" s="58" t="s">
        <v>44</v>
      </c>
    </row>
    <row r="548" spans="1:14" ht="15.75" customHeight="1" x14ac:dyDescent="0.25">
      <c r="A548" s="458"/>
      <c r="B548" s="22" t="s">
        <v>42</v>
      </c>
      <c r="C548" s="37">
        <v>31.77</v>
      </c>
      <c r="D548" s="37">
        <v>9.69</v>
      </c>
      <c r="E548" s="37">
        <f t="shared" si="23"/>
        <v>22.08</v>
      </c>
      <c r="F548" s="22" t="s">
        <v>38</v>
      </c>
      <c r="G548" s="22" t="s">
        <v>153</v>
      </c>
      <c r="H548" s="23">
        <v>500</v>
      </c>
      <c r="I548" s="23">
        <f t="shared" si="24"/>
        <v>11040</v>
      </c>
      <c r="J548" s="23">
        <v>0</v>
      </c>
      <c r="K548" s="23">
        <f t="shared" si="25"/>
        <v>11040</v>
      </c>
      <c r="L548" s="23">
        <v>0</v>
      </c>
      <c r="M548" s="23">
        <f t="shared" si="21"/>
        <v>11040</v>
      </c>
      <c r="N548" s="58" t="s">
        <v>44</v>
      </c>
    </row>
    <row r="549" spans="1:14" ht="15.75" customHeight="1" x14ac:dyDescent="0.25">
      <c r="A549" s="458"/>
      <c r="B549" s="22" t="s">
        <v>115</v>
      </c>
      <c r="C549" s="37">
        <v>30.34</v>
      </c>
      <c r="D549" s="37">
        <v>9.9499999999999993</v>
      </c>
      <c r="E549" s="37">
        <f t="shared" si="23"/>
        <v>20.39</v>
      </c>
      <c r="F549" s="22" t="s">
        <v>38</v>
      </c>
      <c r="G549" s="22" t="s">
        <v>153</v>
      </c>
      <c r="H549" s="23">
        <v>500</v>
      </c>
      <c r="I549" s="23">
        <f t="shared" si="24"/>
        <v>10195</v>
      </c>
      <c r="J549" s="23">
        <v>0</v>
      </c>
      <c r="K549" s="23">
        <f t="shared" si="25"/>
        <v>10195</v>
      </c>
      <c r="L549" s="23">
        <v>0</v>
      </c>
      <c r="M549" s="23">
        <f t="shared" si="21"/>
        <v>10195</v>
      </c>
      <c r="N549" s="58" t="s">
        <v>44</v>
      </c>
    </row>
    <row r="550" spans="1:14" ht="15.75" customHeight="1" x14ac:dyDescent="0.25">
      <c r="A550" s="458"/>
      <c r="B550" s="22" t="s">
        <v>51</v>
      </c>
      <c r="C550" s="37">
        <v>29</v>
      </c>
      <c r="D550" s="37">
        <v>9.84</v>
      </c>
      <c r="E550" s="37">
        <f t="shared" si="23"/>
        <v>19.16</v>
      </c>
      <c r="F550" s="22" t="s">
        <v>38</v>
      </c>
      <c r="G550" s="22" t="s">
        <v>153</v>
      </c>
      <c r="H550" s="23">
        <v>500</v>
      </c>
      <c r="I550" s="23">
        <f t="shared" si="24"/>
        <v>9580</v>
      </c>
      <c r="J550" s="23">
        <v>0</v>
      </c>
      <c r="K550" s="23">
        <f t="shared" si="25"/>
        <v>9580</v>
      </c>
      <c r="L550" s="23">
        <v>0</v>
      </c>
      <c r="M550" s="23">
        <f t="shared" si="21"/>
        <v>9580</v>
      </c>
      <c r="N550" s="58" t="s">
        <v>44</v>
      </c>
    </row>
    <row r="551" spans="1:14" ht="15.75" customHeight="1" x14ac:dyDescent="0.25">
      <c r="A551" s="458"/>
      <c r="B551" s="22" t="s">
        <v>67</v>
      </c>
      <c r="C551" s="37">
        <v>29.72</v>
      </c>
      <c r="D551" s="37">
        <v>9.77</v>
      </c>
      <c r="E551" s="37">
        <f t="shared" si="23"/>
        <v>19.95</v>
      </c>
      <c r="F551" s="22" t="s">
        <v>38</v>
      </c>
      <c r="G551" s="22" t="s">
        <v>153</v>
      </c>
      <c r="H551" s="23">
        <v>500</v>
      </c>
      <c r="I551" s="23">
        <f t="shared" si="24"/>
        <v>9975</v>
      </c>
      <c r="J551" s="23">
        <v>0</v>
      </c>
      <c r="K551" s="23">
        <f t="shared" si="25"/>
        <v>9975</v>
      </c>
      <c r="L551" s="23">
        <v>0</v>
      </c>
      <c r="M551" s="23">
        <f t="shared" si="21"/>
        <v>9975</v>
      </c>
      <c r="N551" s="58" t="s">
        <v>44</v>
      </c>
    </row>
    <row r="552" spans="1:14" ht="15.75" customHeight="1" x14ac:dyDescent="0.25">
      <c r="A552" s="458"/>
      <c r="B552" s="22" t="s">
        <v>42</v>
      </c>
      <c r="C552" s="37">
        <v>33.409999999999997</v>
      </c>
      <c r="D552" s="37">
        <v>9.7100000000000009</v>
      </c>
      <c r="E552" s="37">
        <f t="shared" si="23"/>
        <v>23.699999999999996</v>
      </c>
      <c r="F552" s="22" t="s">
        <v>38</v>
      </c>
      <c r="G552" s="22" t="s">
        <v>153</v>
      </c>
      <c r="H552" s="23">
        <v>500</v>
      </c>
      <c r="I552" s="23">
        <f t="shared" si="24"/>
        <v>11849.999999999998</v>
      </c>
      <c r="J552" s="23">
        <v>0</v>
      </c>
      <c r="K552" s="23">
        <f t="shared" si="25"/>
        <v>11849.999999999998</v>
      </c>
      <c r="L552" s="23">
        <v>0</v>
      </c>
      <c r="M552" s="23">
        <f t="shared" si="21"/>
        <v>11849.999999999998</v>
      </c>
      <c r="N552" s="58" t="s">
        <v>44</v>
      </c>
    </row>
    <row r="553" spans="1:14" ht="15.75" customHeight="1" x14ac:dyDescent="0.25">
      <c r="A553" s="460"/>
      <c r="B553" s="33" t="s">
        <v>88</v>
      </c>
      <c r="C553" s="39">
        <v>29.54</v>
      </c>
      <c r="D553" s="39">
        <v>10.52</v>
      </c>
      <c r="E553" s="39">
        <f t="shared" si="23"/>
        <v>19.02</v>
      </c>
      <c r="F553" s="33" t="s">
        <v>38</v>
      </c>
      <c r="G553" s="33" t="s">
        <v>153</v>
      </c>
      <c r="H553" s="34">
        <v>500</v>
      </c>
      <c r="I553" s="34">
        <f t="shared" si="24"/>
        <v>9510</v>
      </c>
      <c r="J553" s="34">
        <v>0</v>
      </c>
      <c r="K553" s="34">
        <f t="shared" si="25"/>
        <v>9510</v>
      </c>
      <c r="L553" s="34">
        <v>0</v>
      </c>
      <c r="M553" s="34">
        <f t="shared" si="21"/>
        <v>9510</v>
      </c>
      <c r="N553" s="63" t="s">
        <v>44</v>
      </c>
    </row>
    <row r="554" spans="1:14" ht="15.75" customHeight="1" x14ac:dyDescent="0.25">
      <c r="A554" s="457">
        <v>45825</v>
      </c>
      <c r="B554" s="12" t="s">
        <v>67</v>
      </c>
      <c r="C554" s="36">
        <v>29.97</v>
      </c>
      <c r="D554" s="36">
        <v>9.7200000000000006</v>
      </c>
      <c r="E554" s="36">
        <f t="shared" si="23"/>
        <v>20.25</v>
      </c>
      <c r="F554" s="12" t="s">
        <v>35</v>
      </c>
      <c r="G554" s="12" t="s">
        <v>153</v>
      </c>
      <c r="H554" s="13">
        <v>1100</v>
      </c>
      <c r="I554" s="13">
        <f t="shared" si="24"/>
        <v>22275</v>
      </c>
      <c r="J554" s="13">
        <v>0</v>
      </c>
      <c r="K554" s="13">
        <f t="shared" si="25"/>
        <v>22275</v>
      </c>
      <c r="L554" s="13">
        <v>0</v>
      </c>
      <c r="M554" s="13">
        <f t="shared" si="21"/>
        <v>22275</v>
      </c>
      <c r="N554" s="64" t="s">
        <v>44</v>
      </c>
    </row>
    <row r="555" spans="1:14" ht="15.75" customHeight="1" x14ac:dyDescent="0.25">
      <c r="A555" s="458"/>
      <c r="B555" s="22" t="s">
        <v>88</v>
      </c>
      <c r="C555" s="37">
        <v>29.53</v>
      </c>
      <c r="D555" s="37">
        <v>10.43</v>
      </c>
      <c r="E555" s="37">
        <f t="shared" si="23"/>
        <v>19.100000000000001</v>
      </c>
      <c r="F555" s="22" t="s">
        <v>35</v>
      </c>
      <c r="G555" s="22" t="s">
        <v>153</v>
      </c>
      <c r="H555" s="23">
        <v>1100</v>
      </c>
      <c r="I555" s="23">
        <f t="shared" si="24"/>
        <v>21010</v>
      </c>
      <c r="J555" s="23">
        <v>0</v>
      </c>
      <c r="K555" s="23">
        <f t="shared" si="25"/>
        <v>21010</v>
      </c>
      <c r="L555" s="23">
        <v>0</v>
      </c>
      <c r="M555" s="23">
        <f t="shared" si="21"/>
        <v>21010</v>
      </c>
      <c r="N555" s="58" t="s">
        <v>44</v>
      </c>
    </row>
    <row r="556" spans="1:14" ht="15.75" customHeight="1" x14ac:dyDescent="0.25">
      <c r="A556" s="458"/>
      <c r="B556" s="22" t="s">
        <v>115</v>
      </c>
      <c r="C556" s="37">
        <v>28.52</v>
      </c>
      <c r="D556" s="37">
        <v>10.02</v>
      </c>
      <c r="E556" s="37">
        <f t="shared" si="23"/>
        <v>18.5</v>
      </c>
      <c r="F556" s="22" t="s">
        <v>35</v>
      </c>
      <c r="G556" s="22" t="s">
        <v>153</v>
      </c>
      <c r="H556" s="23">
        <v>1100</v>
      </c>
      <c r="I556" s="23">
        <f t="shared" si="24"/>
        <v>20350</v>
      </c>
      <c r="J556" s="23">
        <v>0</v>
      </c>
      <c r="K556" s="23">
        <f t="shared" si="25"/>
        <v>20350</v>
      </c>
      <c r="L556" s="23">
        <v>0</v>
      </c>
      <c r="M556" s="23">
        <f t="shared" si="21"/>
        <v>20350</v>
      </c>
      <c r="N556" s="58" t="s">
        <v>44</v>
      </c>
    </row>
    <row r="557" spans="1:14" ht="15.75" customHeight="1" x14ac:dyDescent="0.25">
      <c r="A557" s="458"/>
      <c r="B557" s="22" t="s">
        <v>47</v>
      </c>
      <c r="C557" s="37">
        <v>28.63</v>
      </c>
      <c r="D557" s="37">
        <v>9.66</v>
      </c>
      <c r="E557" s="37">
        <f t="shared" si="23"/>
        <v>18.97</v>
      </c>
      <c r="F557" s="22" t="s">
        <v>35</v>
      </c>
      <c r="G557" s="22" t="s">
        <v>153</v>
      </c>
      <c r="H557" s="23">
        <v>1100</v>
      </c>
      <c r="I557" s="23">
        <f t="shared" si="24"/>
        <v>20867</v>
      </c>
      <c r="J557" s="23">
        <v>0</v>
      </c>
      <c r="K557" s="23">
        <f t="shared" si="25"/>
        <v>20867</v>
      </c>
      <c r="L557" s="23">
        <v>0</v>
      </c>
      <c r="M557" s="23">
        <f t="shared" si="21"/>
        <v>20867</v>
      </c>
      <c r="N557" s="58" t="s">
        <v>44</v>
      </c>
    </row>
    <row r="558" spans="1:14" ht="15.75" customHeight="1" x14ac:dyDescent="0.25">
      <c r="A558" s="458"/>
      <c r="B558" s="22" t="s">
        <v>51</v>
      </c>
      <c r="C558" s="37">
        <v>29.22</v>
      </c>
      <c r="D558" s="37">
        <v>9.84</v>
      </c>
      <c r="E558" s="37">
        <f t="shared" si="23"/>
        <v>19.38</v>
      </c>
      <c r="F558" s="22" t="s">
        <v>35</v>
      </c>
      <c r="G558" s="22" t="s">
        <v>153</v>
      </c>
      <c r="H558" s="23">
        <v>1100</v>
      </c>
      <c r="I558" s="23">
        <f t="shared" si="24"/>
        <v>21318</v>
      </c>
      <c r="J558" s="23">
        <v>0</v>
      </c>
      <c r="K558" s="23">
        <f t="shared" si="25"/>
        <v>21318</v>
      </c>
      <c r="L558" s="23">
        <v>0</v>
      </c>
      <c r="M558" s="23">
        <f t="shared" si="21"/>
        <v>21318</v>
      </c>
      <c r="N558" s="58" t="s">
        <v>44</v>
      </c>
    </row>
    <row r="559" spans="1:14" ht="15.75" customHeight="1" x14ac:dyDescent="0.25">
      <c r="A559" s="458"/>
      <c r="B559" s="22" t="s">
        <v>42</v>
      </c>
      <c r="C559" s="37">
        <v>28.94</v>
      </c>
      <c r="D559" s="37">
        <v>9.7100000000000009</v>
      </c>
      <c r="E559" s="37">
        <f t="shared" si="23"/>
        <v>19.23</v>
      </c>
      <c r="F559" s="22" t="s">
        <v>35</v>
      </c>
      <c r="G559" s="22" t="s">
        <v>153</v>
      </c>
      <c r="H559" s="23">
        <v>1100</v>
      </c>
      <c r="I559" s="23">
        <f t="shared" si="24"/>
        <v>21153</v>
      </c>
      <c r="J559" s="23">
        <v>0</v>
      </c>
      <c r="K559" s="23">
        <f t="shared" si="25"/>
        <v>21153</v>
      </c>
      <c r="L559" s="23">
        <v>0</v>
      </c>
      <c r="M559" s="23">
        <f t="shared" si="21"/>
        <v>21153</v>
      </c>
      <c r="N559" s="58" t="s">
        <v>44</v>
      </c>
    </row>
    <row r="560" spans="1:14" ht="15.75" customHeight="1" x14ac:dyDescent="0.25">
      <c r="A560" s="458"/>
      <c r="B560" s="22" t="s">
        <v>49</v>
      </c>
      <c r="C560" s="37">
        <v>28.54</v>
      </c>
      <c r="D560" s="37">
        <v>9.5500000000000007</v>
      </c>
      <c r="E560" s="37">
        <f t="shared" si="23"/>
        <v>18.989999999999998</v>
      </c>
      <c r="F560" s="22" t="s">
        <v>35</v>
      </c>
      <c r="G560" s="22" t="s">
        <v>153</v>
      </c>
      <c r="H560" s="23">
        <v>1100</v>
      </c>
      <c r="I560" s="23">
        <f t="shared" si="24"/>
        <v>20889</v>
      </c>
      <c r="J560" s="23">
        <v>0</v>
      </c>
      <c r="K560" s="23">
        <f t="shared" si="25"/>
        <v>20889</v>
      </c>
      <c r="L560" s="23">
        <v>0</v>
      </c>
      <c r="M560" s="23">
        <f t="shared" si="21"/>
        <v>20889</v>
      </c>
      <c r="N560" s="58" t="s">
        <v>44</v>
      </c>
    </row>
    <row r="561" spans="1:14" ht="15.75" customHeight="1" x14ac:dyDescent="0.25">
      <c r="A561" s="458"/>
      <c r="B561" s="22" t="s">
        <v>30</v>
      </c>
      <c r="C561" s="37">
        <v>28.12</v>
      </c>
      <c r="D561" s="37">
        <v>9.74</v>
      </c>
      <c r="E561" s="37">
        <f t="shared" si="23"/>
        <v>18.380000000000003</v>
      </c>
      <c r="F561" s="22" t="s">
        <v>35</v>
      </c>
      <c r="G561" s="22" t="s">
        <v>153</v>
      </c>
      <c r="H561" s="23">
        <v>1100</v>
      </c>
      <c r="I561" s="23">
        <f t="shared" si="24"/>
        <v>20218.000000000004</v>
      </c>
      <c r="J561" s="23">
        <v>0</v>
      </c>
      <c r="K561" s="23">
        <f t="shared" si="25"/>
        <v>20218.000000000004</v>
      </c>
      <c r="L561" s="23">
        <v>0</v>
      </c>
      <c r="M561" s="23">
        <f t="shared" si="21"/>
        <v>20218.000000000004</v>
      </c>
      <c r="N561" s="58" t="s">
        <v>44</v>
      </c>
    </row>
    <row r="562" spans="1:14" ht="15.75" customHeight="1" x14ac:dyDescent="0.25">
      <c r="A562" s="458"/>
      <c r="B562" s="22" t="s">
        <v>58</v>
      </c>
      <c r="C562" s="37">
        <v>29.4</v>
      </c>
      <c r="D562" s="37">
        <v>9.8699999999999992</v>
      </c>
      <c r="E562" s="37">
        <f t="shared" si="23"/>
        <v>19.53</v>
      </c>
      <c r="F562" s="22" t="s">
        <v>35</v>
      </c>
      <c r="G562" s="22" t="s">
        <v>153</v>
      </c>
      <c r="H562" s="23">
        <v>1100</v>
      </c>
      <c r="I562" s="23">
        <f t="shared" si="24"/>
        <v>21483</v>
      </c>
      <c r="J562" s="23">
        <v>0</v>
      </c>
      <c r="K562" s="23">
        <f t="shared" si="25"/>
        <v>21483</v>
      </c>
      <c r="L562" s="23">
        <v>0</v>
      </c>
      <c r="M562" s="23">
        <f t="shared" si="21"/>
        <v>21483</v>
      </c>
      <c r="N562" s="58" t="s">
        <v>44</v>
      </c>
    </row>
    <row r="563" spans="1:14" ht="15.75" customHeight="1" x14ac:dyDescent="0.25">
      <c r="A563" s="458"/>
      <c r="B563" s="22" t="s">
        <v>49</v>
      </c>
      <c r="C563" s="37">
        <v>29.03</v>
      </c>
      <c r="D563" s="37">
        <v>9.5299999999999994</v>
      </c>
      <c r="E563" s="37">
        <f t="shared" si="23"/>
        <v>19.5</v>
      </c>
      <c r="F563" s="22" t="s">
        <v>23</v>
      </c>
      <c r="G563" s="22" t="s">
        <v>175</v>
      </c>
      <c r="H563" s="23">
        <v>1400</v>
      </c>
      <c r="I563" s="23">
        <f t="shared" si="24"/>
        <v>27300</v>
      </c>
      <c r="J563" s="23">
        <v>0</v>
      </c>
      <c r="K563" s="23">
        <f t="shared" si="25"/>
        <v>27300</v>
      </c>
      <c r="L563" s="23">
        <v>0</v>
      </c>
      <c r="M563" s="23">
        <f t="shared" si="21"/>
        <v>27300</v>
      </c>
      <c r="N563" s="58" t="s">
        <v>25</v>
      </c>
    </row>
    <row r="564" spans="1:14" ht="15.75" customHeight="1" x14ac:dyDescent="0.25">
      <c r="A564" s="458"/>
      <c r="B564" s="22" t="s">
        <v>47</v>
      </c>
      <c r="C564" s="37">
        <v>28.67</v>
      </c>
      <c r="D564" s="37">
        <v>9.61</v>
      </c>
      <c r="E564" s="37">
        <f t="shared" si="23"/>
        <v>19.060000000000002</v>
      </c>
      <c r="F564" s="22" t="s">
        <v>35</v>
      </c>
      <c r="G564" s="22" t="s">
        <v>153</v>
      </c>
      <c r="H564" s="23">
        <v>1100</v>
      </c>
      <c r="I564" s="23">
        <f t="shared" si="24"/>
        <v>20966.000000000004</v>
      </c>
      <c r="J564" s="23">
        <v>0</v>
      </c>
      <c r="K564" s="23">
        <f t="shared" si="25"/>
        <v>20966.000000000004</v>
      </c>
      <c r="L564" s="23">
        <v>0</v>
      </c>
      <c r="M564" s="23">
        <f t="shared" si="21"/>
        <v>20966.000000000004</v>
      </c>
      <c r="N564" s="58" t="s">
        <v>44</v>
      </c>
    </row>
    <row r="565" spans="1:14" ht="15.75" customHeight="1" x14ac:dyDescent="0.25">
      <c r="A565" s="458"/>
      <c r="B565" s="22" t="s">
        <v>42</v>
      </c>
      <c r="C565" s="37">
        <v>29.15</v>
      </c>
      <c r="D565" s="37">
        <v>9.65</v>
      </c>
      <c r="E565" s="37">
        <f t="shared" si="23"/>
        <v>19.5</v>
      </c>
      <c r="F565" s="22" t="s">
        <v>35</v>
      </c>
      <c r="G565" s="22" t="s">
        <v>153</v>
      </c>
      <c r="H565" s="23">
        <v>1100</v>
      </c>
      <c r="I565" s="23">
        <f t="shared" si="24"/>
        <v>21450</v>
      </c>
      <c r="J565" s="23">
        <v>0</v>
      </c>
      <c r="K565" s="23">
        <f t="shared" si="25"/>
        <v>21450</v>
      </c>
      <c r="L565" s="23">
        <v>0</v>
      </c>
      <c r="M565" s="23">
        <f t="shared" si="21"/>
        <v>21450</v>
      </c>
      <c r="N565" s="58" t="s">
        <v>44</v>
      </c>
    </row>
    <row r="566" spans="1:14" ht="15.75" customHeight="1" x14ac:dyDescent="0.25">
      <c r="A566" s="458"/>
      <c r="B566" s="22" t="s">
        <v>88</v>
      </c>
      <c r="C566" s="37">
        <v>29.14</v>
      </c>
      <c r="D566" s="37">
        <v>10.3</v>
      </c>
      <c r="E566" s="37">
        <f t="shared" si="23"/>
        <v>18.84</v>
      </c>
      <c r="F566" s="22" t="s">
        <v>35</v>
      </c>
      <c r="G566" s="22" t="s">
        <v>153</v>
      </c>
      <c r="H566" s="23">
        <v>1100</v>
      </c>
      <c r="I566" s="23">
        <f t="shared" si="24"/>
        <v>20724</v>
      </c>
      <c r="J566" s="23">
        <v>0</v>
      </c>
      <c r="K566" s="23">
        <f t="shared" si="25"/>
        <v>20724</v>
      </c>
      <c r="L566" s="23">
        <v>0</v>
      </c>
      <c r="M566" s="23">
        <f t="shared" si="21"/>
        <v>20724</v>
      </c>
      <c r="N566" s="58" t="s">
        <v>44</v>
      </c>
    </row>
    <row r="567" spans="1:14" ht="15.75" customHeight="1" x14ac:dyDescent="0.25">
      <c r="A567" s="458"/>
      <c r="B567" s="22" t="s">
        <v>49</v>
      </c>
      <c r="C567" s="37">
        <v>28.24</v>
      </c>
      <c r="D567" s="37">
        <v>9.56</v>
      </c>
      <c r="E567" s="37">
        <f t="shared" si="23"/>
        <v>18.68</v>
      </c>
      <c r="F567" s="22" t="s">
        <v>35</v>
      </c>
      <c r="G567" s="22" t="s">
        <v>153</v>
      </c>
      <c r="H567" s="23">
        <v>1100</v>
      </c>
      <c r="I567" s="23">
        <f t="shared" si="24"/>
        <v>20548</v>
      </c>
      <c r="J567" s="23">
        <v>0</v>
      </c>
      <c r="K567" s="23">
        <f t="shared" si="25"/>
        <v>20548</v>
      </c>
      <c r="L567" s="23">
        <v>0</v>
      </c>
      <c r="M567" s="23">
        <f t="shared" si="21"/>
        <v>20548</v>
      </c>
      <c r="N567" s="58" t="s">
        <v>44</v>
      </c>
    </row>
    <row r="568" spans="1:14" ht="15.75" customHeight="1" x14ac:dyDescent="0.25">
      <c r="A568" s="458"/>
      <c r="B568" s="22" t="s">
        <v>30</v>
      </c>
      <c r="C568" s="37">
        <v>28.15</v>
      </c>
      <c r="D568" s="37">
        <v>9.67</v>
      </c>
      <c r="E568" s="37">
        <f t="shared" si="23"/>
        <v>18.479999999999997</v>
      </c>
      <c r="F568" s="22" t="s">
        <v>35</v>
      </c>
      <c r="G568" s="22" t="s">
        <v>153</v>
      </c>
      <c r="H568" s="23">
        <v>1100</v>
      </c>
      <c r="I568" s="23">
        <f t="shared" si="24"/>
        <v>20327.999999999996</v>
      </c>
      <c r="J568" s="23">
        <v>0</v>
      </c>
      <c r="K568" s="23">
        <f t="shared" si="25"/>
        <v>20327.999999999996</v>
      </c>
      <c r="L568" s="23">
        <v>0</v>
      </c>
      <c r="M568" s="23">
        <f t="shared" si="21"/>
        <v>20327.999999999996</v>
      </c>
      <c r="N568" s="58" t="s">
        <v>44</v>
      </c>
    </row>
    <row r="569" spans="1:14" ht="15.75" customHeight="1" x14ac:dyDescent="0.25">
      <c r="A569" s="459"/>
      <c r="B569" s="15" t="s">
        <v>58</v>
      </c>
      <c r="C569" s="52">
        <v>29.29</v>
      </c>
      <c r="D569" s="52">
        <v>9.84</v>
      </c>
      <c r="E569" s="52">
        <f t="shared" si="23"/>
        <v>19.45</v>
      </c>
      <c r="F569" s="15" t="s">
        <v>35</v>
      </c>
      <c r="G569" s="15" t="s">
        <v>153</v>
      </c>
      <c r="H569" s="16">
        <v>1100</v>
      </c>
      <c r="I569" s="16">
        <f t="shared" si="24"/>
        <v>21395</v>
      </c>
      <c r="J569" s="16">
        <v>0</v>
      </c>
      <c r="K569" s="16">
        <f t="shared" si="25"/>
        <v>21395</v>
      </c>
      <c r="L569" s="16">
        <v>0</v>
      </c>
      <c r="M569" s="16">
        <f t="shared" si="21"/>
        <v>21395</v>
      </c>
      <c r="N569" s="65" t="s">
        <v>44</v>
      </c>
    </row>
    <row r="570" spans="1:14" ht="15.75" customHeight="1" x14ac:dyDescent="0.25">
      <c r="A570" s="457">
        <v>45826</v>
      </c>
      <c r="B570" s="12" t="s">
        <v>49</v>
      </c>
      <c r="C570" s="36">
        <v>29.38</v>
      </c>
      <c r="D570" s="36">
        <v>9.5500000000000007</v>
      </c>
      <c r="E570" s="36">
        <f t="shared" si="23"/>
        <v>19.829999999999998</v>
      </c>
      <c r="F570" s="12" t="s">
        <v>23</v>
      </c>
      <c r="G570" s="12" t="s">
        <v>175</v>
      </c>
      <c r="H570" s="13">
        <v>1400</v>
      </c>
      <c r="I570" s="13">
        <f t="shared" si="24"/>
        <v>27761.999999999996</v>
      </c>
      <c r="J570" s="13">
        <v>0</v>
      </c>
      <c r="K570" s="13">
        <f t="shared" si="25"/>
        <v>27761.999999999996</v>
      </c>
      <c r="L570" s="13">
        <v>62</v>
      </c>
      <c r="M570" s="13">
        <f t="shared" si="21"/>
        <v>27699.999999999996</v>
      </c>
      <c r="N570" s="64" t="s">
        <v>25</v>
      </c>
    </row>
    <row r="571" spans="1:14" ht="15.75" customHeight="1" x14ac:dyDescent="0.25">
      <c r="A571" s="458"/>
      <c r="B571" s="22" t="s">
        <v>115</v>
      </c>
      <c r="C571" s="37">
        <v>32.26</v>
      </c>
      <c r="D571" s="37">
        <v>9.77</v>
      </c>
      <c r="E571" s="37">
        <f t="shared" si="23"/>
        <v>22.49</v>
      </c>
      <c r="F571" s="22" t="s">
        <v>38</v>
      </c>
      <c r="G571" s="22" t="s">
        <v>153</v>
      </c>
      <c r="H571" s="23">
        <v>500</v>
      </c>
      <c r="I571" s="23">
        <f t="shared" si="24"/>
        <v>11245</v>
      </c>
      <c r="J571" s="23">
        <v>0</v>
      </c>
      <c r="K571" s="23">
        <f t="shared" si="25"/>
        <v>11245</v>
      </c>
      <c r="L571" s="23">
        <v>0</v>
      </c>
      <c r="M571" s="23">
        <f t="shared" si="21"/>
        <v>11245</v>
      </c>
      <c r="N571" s="58" t="s">
        <v>44</v>
      </c>
    </row>
    <row r="572" spans="1:14" ht="15.75" customHeight="1" x14ac:dyDescent="0.25">
      <c r="A572" s="458"/>
      <c r="B572" s="22" t="s">
        <v>30</v>
      </c>
      <c r="C572" s="37">
        <v>32.9</v>
      </c>
      <c r="D572" s="37">
        <v>9.64</v>
      </c>
      <c r="E572" s="37">
        <f t="shared" si="23"/>
        <v>23.259999999999998</v>
      </c>
      <c r="F572" s="22" t="s">
        <v>38</v>
      </c>
      <c r="G572" s="22" t="s">
        <v>153</v>
      </c>
      <c r="H572" s="23">
        <v>500</v>
      </c>
      <c r="I572" s="23">
        <f t="shared" si="24"/>
        <v>11629.999999999998</v>
      </c>
      <c r="J572" s="23">
        <v>0</v>
      </c>
      <c r="K572" s="23">
        <f t="shared" si="25"/>
        <v>11629.999999999998</v>
      </c>
      <c r="L572" s="23">
        <v>0</v>
      </c>
      <c r="M572" s="23">
        <f t="shared" si="21"/>
        <v>11629.999999999998</v>
      </c>
      <c r="N572" s="58" t="s">
        <v>44</v>
      </c>
    </row>
    <row r="573" spans="1:14" ht="15.75" customHeight="1" x14ac:dyDescent="0.25">
      <c r="A573" s="458"/>
      <c r="B573" s="22" t="s">
        <v>58</v>
      </c>
      <c r="C573" s="37">
        <v>31.53</v>
      </c>
      <c r="D573" s="37">
        <v>9.82</v>
      </c>
      <c r="E573" s="37">
        <f t="shared" si="23"/>
        <v>21.71</v>
      </c>
      <c r="F573" s="22" t="s">
        <v>38</v>
      </c>
      <c r="G573" s="22" t="s">
        <v>153</v>
      </c>
      <c r="H573" s="23">
        <v>500</v>
      </c>
      <c r="I573" s="23">
        <f t="shared" si="24"/>
        <v>10855</v>
      </c>
      <c r="J573" s="23">
        <v>0</v>
      </c>
      <c r="K573" s="23">
        <f t="shared" si="25"/>
        <v>10855</v>
      </c>
      <c r="L573" s="23">
        <v>0</v>
      </c>
      <c r="M573" s="23">
        <f t="shared" si="21"/>
        <v>10855</v>
      </c>
      <c r="N573" s="58" t="s">
        <v>44</v>
      </c>
    </row>
    <row r="574" spans="1:14" ht="15.75" customHeight="1" x14ac:dyDescent="0.25">
      <c r="A574" s="458"/>
      <c r="B574" s="22" t="s">
        <v>67</v>
      </c>
      <c r="C574" s="37">
        <v>31.21</v>
      </c>
      <c r="D574" s="37">
        <v>9.8000000000000007</v>
      </c>
      <c r="E574" s="37">
        <f t="shared" si="23"/>
        <v>21.41</v>
      </c>
      <c r="F574" s="22" t="s">
        <v>38</v>
      </c>
      <c r="G574" s="22" t="s">
        <v>153</v>
      </c>
      <c r="H574" s="23">
        <v>500</v>
      </c>
      <c r="I574" s="23">
        <f t="shared" si="24"/>
        <v>10705</v>
      </c>
      <c r="J574" s="23">
        <v>0</v>
      </c>
      <c r="K574" s="23">
        <f t="shared" si="25"/>
        <v>10705</v>
      </c>
      <c r="L574" s="23">
        <v>0</v>
      </c>
      <c r="M574" s="23">
        <f t="shared" si="21"/>
        <v>10705</v>
      </c>
      <c r="N574" s="58" t="s">
        <v>44</v>
      </c>
    </row>
    <row r="575" spans="1:14" ht="15.75" customHeight="1" x14ac:dyDescent="0.25">
      <c r="A575" s="458"/>
      <c r="B575" s="22" t="s">
        <v>88</v>
      </c>
      <c r="C575" s="37">
        <v>31.04</v>
      </c>
      <c r="D575" s="37">
        <v>10.26</v>
      </c>
      <c r="E575" s="37">
        <f t="shared" si="23"/>
        <v>20.78</v>
      </c>
      <c r="F575" s="22" t="s">
        <v>38</v>
      </c>
      <c r="G575" s="22" t="s">
        <v>153</v>
      </c>
      <c r="H575" s="23">
        <v>500</v>
      </c>
      <c r="I575" s="23">
        <f t="shared" si="24"/>
        <v>10390</v>
      </c>
      <c r="J575" s="23">
        <v>0</v>
      </c>
      <c r="K575" s="23">
        <f t="shared" si="25"/>
        <v>10390</v>
      </c>
      <c r="L575" s="23">
        <v>0</v>
      </c>
      <c r="M575" s="23">
        <f t="shared" si="21"/>
        <v>10390</v>
      </c>
      <c r="N575" s="58" t="s">
        <v>44</v>
      </c>
    </row>
    <row r="576" spans="1:14" ht="15.75" customHeight="1" x14ac:dyDescent="0.25">
      <c r="A576" s="458"/>
      <c r="B576" s="22" t="s">
        <v>51</v>
      </c>
      <c r="C576" s="37">
        <v>30.16</v>
      </c>
      <c r="D576" s="37">
        <v>9.82</v>
      </c>
      <c r="E576" s="37">
        <f t="shared" si="23"/>
        <v>20.34</v>
      </c>
      <c r="F576" s="22" t="s">
        <v>38</v>
      </c>
      <c r="G576" s="22" t="s">
        <v>153</v>
      </c>
      <c r="H576" s="23">
        <v>500</v>
      </c>
      <c r="I576" s="23">
        <f t="shared" si="24"/>
        <v>10170</v>
      </c>
      <c r="J576" s="23">
        <v>0</v>
      </c>
      <c r="K576" s="23">
        <f t="shared" si="25"/>
        <v>10170</v>
      </c>
      <c r="L576" s="23">
        <v>0</v>
      </c>
      <c r="M576" s="23">
        <f t="shared" si="21"/>
        <v>10170</v>
      </c>
      <c r="N576" s="58" t="s">
        <v>44</v>
      </c>
    </row>
    <row r="577" spans="1:14" ht="15.75" customHeight="1" x14ac:dyDescent="0.25">
      <c r="A577" s="458"/>
      <c r="B577" s="33" t="s">
        <v>49</v>
      </c>
      <c r="C577" s="39">
        <v>30.09</v>
      </c>
      <c r="D577" s="39">
        <v>9.5299999999999994</v>
      </c>
      <c r="E577" s="39">
        <f t="shared" si="23"/>
        <v>20.560000000000002</v>
      </c>
      <c r="F577" s="33" t="s">
        <v>38</v>
      </c>
      <c r="G577" s="33" t="s">
        <v>153</v>
      </c>
      <c r="H577" s="34">
        <v>500</v>
      </c>
      <c r="I577" s="34">
        <f t="shared" si="24"/>
        <v>10280.000000000002</v>
      </c>
      <c r="J577" s="34">
        <v>0</v>
      </c>
      <c r="K577" s="34">
        <f t="shared" si="25"/>
        <v>10280.000000000002</v>
      </c>
      <c r="L577" s="34">
        <v>0</v>
      </c>
      <c r="M577" s="34">
        <f t="shared" si="21"/>
        <v>10280.000000000002</v>
      </c>
      <c r="N577" s="63" t="s">
        <v>44</v>
      </c>
    </row>
    <row r="578" spans="1:14" ht="15.75" customHeight="1" x14ac:dyDescent="0.25">
      <c r="A578" s="457">
        <v>45828</v>
      </c>
      <c r="B578" s="12" t="s">
        <v>47</v>
      </c>
      <c r="C578" s="36">
        <v>30.83</v>
      </c>
      <c r="D578" s="36">
        <v>9.48</v>
      </c>
      <c r="E578" s="36">
        <f t="shared" si="23"/>
        <v>21.349999999999998</v>
      </c>
      <c r="F578" s="12" t="s">
        <v>38</v>
      </c>
      <c r="G578" s="12" t="s">
        <v>153</v>
      </c>
      <c r="H578" s="13">
        <v>500</v>
      </c>
      <c r="I578" s="13">
        <f t="shared" si="24"/>
        <v>10674.999999999998</v>
      </c>
      <c r="J578" s="13">
        <v>0</v>
      </c>
      <c r="K578" s="13">
        <f t="shared" si="25"/>
        <v>10674.999999999998</v>
      </c>
      <c r="L578" s="13">
        <v>0</v>
      </c>
      <c r="M578" s="13">
        <f t="shared" si="21"/>
        <v>10674.999999999998</v>
      </c>
      <c r="N578" s="64" t="s">
        <v>44</v>
      </c>
    </row>
    <row r="579" spans="1:14" ht="15.75" customHeight="1" x14ac:dyDescent="0.25">
      <c r="A579" s="458"/>
      <c r="B579" s="22" t="s">
        <v>42</v>
      </c>
      <c r="C579" s="37">
        <v>33.01</v>
      </c>
      <c r="D579" s="37">
        <v>9.64</v>
      </c>
      <c r="E579" s="37">
        <f t="shared" si="23"/>
        <v>23.369999999999997</v>
      </c>
      <c r="F579" s="22" t="s">
        <v>38</v>
      </c>
      <c r="G579" s="22" t="s">
        <v>153</v>
      </c>
      <c r="H579" s="23">
        <v>500</v>
      </c>
      <c r="I579" s="23">
        <f t="shared" si="24"/>
        <v>11684.999999999998</v>
      </c>
      <c r="J579" s="23">
        <v>0</v>
      </c>
      <c r="K579" s="23">
        <f t="shared" si="25"/>
        <v>11684.999999999998</v>
      </c>
      <c r="L579" s="23">
        <v>0</v>
      </c>
      <c r="M579" s="23">
        <f t="shared" si="21"/>
        <v>11684.999999999998</v>
      </c>
      <c r="N579" s="58" t="s">
        <v>44</v>
      </c>
    </row>
    <row r="580" spans="1:14" ht="15.75" customHeight="1" x14ac:dyDescent="0.25">
      <c r="A580" s="458"/>
      <c r="B580" s="22" t="s">
        <v>22</v>
      </c>
      <c r="C580" s="37">
        <v>29.16</v>
      </c>
      <c r="D580" s="37">
        <v>9.9499999999999993</v>
      </c>
      <c r="E580" s="37">
        <f t="shared" si="23"/>
        <v>19.21</v>
      </c>
      <c r="F580" s="22" t="s">
        <v>38</v>
      </c>
      <c r="G580" s="22" t="s">
        <v>153</v>
      </c>
      <c r="H580" s="23">
        <v>500</v>
      </c>
      <c r="I580" s="23">
        <f t="shared" si="24"/>
        <v>9605</v>
      </c>
      <c r="J580" s="23">
        <v>0</v>
      </c>
      <c r="K580" s="23">
        <f t="shared" si="25"/>
        <v>9605</v>
      </c>
      <c r="L580" s="23">
        <v>0</v>
      </c>
      <c r="M580" s="23">
        <f t="shared" si="21"/>
        <v>9605</v>
      </c>
      <c r="N580" s="58" t="s">
        <v>44</v>
      </c>
    </row>
    <row r="581" spans="1:14" ht="15.75" customHeight="1" x14ac:dyDescent="0.25">
      <c r="A581" s="458"/>
      <c r="B581" s="22" t="s">
        <v>51</v>
      </c>
      <c r="C581" s="37">
        <v>30.1</v>
      </c>
      <c r="D581" s="37">
        <v>9.7899999999999991</v>
      </c>
      <c r="E581" s="37">
        <f t="shared" si="23"/>
        <v>20.310000000000002</v>
      </c>
      <c r="F581" s="22" t="s">
        <v>38</v>
      </c>
      <c r="G581" s="22" t="s">
        <v>153</v>
      </c>
      <c r="H581" s="23">
        <v>500</v>
      </c>
      <c r="I581" s="23">
        <f t="shared" si="24"/>
        <v>10155.000000000002</v>
      </c>
      <c r="J581" s="23">
        <v>0</v>
      </c>
      <c r="K581" s="23">
        <f t="shared" si="25"/>
        <v>10155.000000000002</v>
      </c>
      <c r="L581" s="23">
        <v>0</v>
      </c>
      <c r="M581" s="23">
        <f t="shared" si="21"/>
        <v>10155.000000000002</v>
      </c>
      <c r="N581" s="58" t="s">
        <v>44</v>
      </c>
    </row>
    <row r="582" spans="1:14" ht="15.75" customHeight="1" x14ac:dyDescent="0.25">
      <c r="A582" s="458"/>
      <c r="B582" s="22" t="s">
        <v>67</v>
      </c>
      <c r="C582" s="37">
        <v>30.83</v>
      </c>
      <c r="D582" s="37">
        <v>9.7100000000000009</v>
      </c>
      <c r="E582" s="37">
        <f t="shared" si="23"/>
        <v>21.119999999999997</v>
      </c>
      <c r="F582" s="22" t="s">
        <v>38</v>
      </c>
      <c r="G582" s="22" t="s">
        <v>153</v>
      </c>
      <c r="H582" s="23">
        <v>500</v>
      </c>
      <c r="I582" s="23">
        <f t="shared" si="24"/>
        <v>10559.999999999998</v>
      </c>
      <c r="J582" s="23">
        <v>0</v>
      </c>
      <c r="K582" s="23">
        <f t="shared" si="25"/>
        <v>10559.999999999998</v>
      </c>
      <c r="L582" s="23">
        <v>0</v>
      </c>
      <c r="M582" s="23">
        <f t="shared" si="21"/>
        <v>10559.999999999998</v>
      </c>
      <c r="N582" s="58" t="s">
        <v>44</v>
      </c>
    </row>
    <row r="583" spans="1:14" ht="15.75" customHeight="1" x14ac:dyDescent="0.25">
      <c r="A583" s="458"/>
      <c r="B583" s="22" t="s">
        <v>49</v>
      </c>
      <c r="C583" s="37">
        <v>29.48</v>
      </c>
      <c r="D583" s="37">
        <v>9.6</v>
      </c>
      <c r="E583" s="37">
        <f t="shared" si="23"/>
        <v>19.880000000000003</v>
      </c>
      <c r="F583" s="22" t="s">
        <v>38</v>
      </c>
      <c r="G583" s="22" t="s">
        <v>153</v>
      </c>
      <c r="H583" s="23">
        <v>500</v>
      </c>
      <c r="I583" s="23">
        <f t="shared" si="24"/>
        <v>9940.0000000000018</v>
      </c>
      <c r="J583" s="23">
        <v>0</v>
      </c>
      <c r="K583" s="23">
        <f t="shared" si="25"/>
        <v>9940.0000000000018</v>
      </c>
      <c r="L583" s="23">
        <v>0</v>
      </c>
      <c r="M583" s="23">
        <f t="shared" si="21"/>
        <v>9940.0000000000018</v>
      </c>
      <c r="N583" s="58" t="s">
        <v>44</v>
      </c>
    </row>
    <row r="584" spans="1:14" ht="15.75" customHeight="1" x14ac:dyDescent="0.25">
      <c r="A584" s="458"/>
      <c r="B584" s="22" t="s">
        <v>115</v>
      </c>
      <c r="C584" s="37">
        <v>30.52</v>
      </c>
      <c r="D584" s="37">
        <v>9.86</v>
      </c>
      <c r="E584" s="37">
        <f t="shared" si="23"/>
        <v>20.66</v>
      </c>
      <c r="F584" s="22" t="s">
        <v>38</v>
      </c>
      <c r="G584" s="22" t="s">
        <v>153</v>
      </c>
      <c r="H584" s="23">
        <v>500</v>
      </c>
      <c r="I584" s="23">
        <f t="shared" si="24"/>
        <v>10330</v>
      </c>
      <c r="J584" s="23">
        <v>0</v>
      </c>
      <c r="K584" s="23">
        <f t="shared" si="25"/>
        <v>10330</v>
      </c>
      <c r="L584" s="23">
        <v>0</v>
      </c>
      <c r="M584" s="23">
        <f t="shared" si="21"/>
        <v>10330</v>
      </c>
      <c r="N584" s="58" t="s">
        <v>44</v>
      </c>
    </row>
    <row r="585" spans="1:14" ht="15.75" customHeight="1" x14ac:dyDescent="0.25">
      <c r="A585" s="458"/>
      <c r="B585" s="22" t="s">
        <v>58</v>
      </c>
      <c r="C585" s="37">
        <v>29.38</v>
      </c>
      <c r="D585" s="37">
        <v>9.83</v>
      </c>
      <c r="E585" s="37">
        <f t="shared" si="23"/>
        <v>19.549999999999997</v>
      </c>
      <c r="F585" s="22" t="s">
        <v>38</v>
      </c>
      <c r="G585" s="22" t="s">
        <v>153</v>
      </c>
      <c r="H585" s="23">
        <v>500</v>
      </c>
      <c r="I585" s="23">
        <f t="shared" si="24"/>
        <v>9774.9999999999982</v>
      </c>
      <c r="J585" s="23">
        <v>0</v>
      </c>
      <c r="K585" s="23">
        <f t="shared" si="25"/>
        <v>9774.9999999999982</v>
      </c>
      <c r="L585" s="23">
        <v>0</v>
      </c>
      <c r="M585" s="23">
        <f t="shared" si="21"/>
        <v>9774.9999999999982</v>
      </c>
      <c r="N585" s="58" t="s">
        <v>44</v>
      </c>
    </row>
    <row r="586" spans="1:14" ht="15.75" customHeight="1" x14ac:dyDescent="0.25">
      <c r="A586" s="458"/>
      <c r="B586" s="22" t="s">
        <v>30</v>
      </c>
      <c r="C586" s="37">
        <v>28.88</v>
      </c>
      <c r="D586" s="37">
        <v>9.56</v>
      </c>
      <c r="E586" s="37">
        <f t="shared" si="23"/>
        <v>19.32</v>
      </c>
      <c r="F586" s="22" t="s">
        <v>38</v>
      </c>
      <c r="G586" s="22" t="s">
        <v>153</v>
      </c>
      <c r="H586" s="23">
        <v>500</v>
      </c>
      <c r="I586" s="23">
        <f t="shared" si="24"/>
        <v>9660</v>
      </c>
      <c r="J586" s="23">
        <v>0</v>
      </c>
      <c r="K586" s="23">
        <f t="shared" si="25"/>
        <v>9660</v>
      </c>
      <c r="L586" s="23">
        <v>0</v>
      </c>
      <c r="M586" s="23">
        <f t="shared" si="21"/>
        <v>9660</v>
      </c>
      <c r="N586" s="58" t="s">
        <v>44</v>
      </c>
    </row>
    <row r="587" spans="1:14" ht="15.75" customHeight="1" x14ac:dyDescent="0.25">
      <c r="A587" s="459"/>
      <c r="B587" s="15" t="s">
        <v>88</v>
      </c>
      <c r="C587" s="52">
        <v>28.52</v>
      </c>
      <c r="D587" s="52">
        <v>10.29</v>
      </c>
      <c r="E587" s="52">
        <f t="shared" si="23"/>
        <v>18.23</v>
      </c>
      <c r="F587" s="15" t="s">
        <v>38</v>
      </c>
      <c r="G587" s="15" t="s">
        <v>153</v>
      </c>
      <c r="H587" s="16">
        <v>500</v>
      </c>
      <c r="I587" s="16">
        <f t="shared" si="24"/>
        <v>9115</v>
      </c>
      <c r="J587" s="16">
        <v>0</v>
      </c>
      <c r="K587" s="16">
        <f t="shared" si="25"/>
        <v>9115</v>
      </c>
      <c r="L587" s="16">
        <v>0</v>
      </c>
      <c r="M587" s="16">
        <f t="shared" si="21"/>
        <v>9115</v>
      </c>
      <c r="N587" s="65" t="s">
        <v>44</v>
      </c>
    </row>
    <row r="588" spans="1:14" ht="15.75" customHeight="1" x14ac:dyDescent="0.25">
      <c r="A588" s="457">
        <v>45830</v>
      </c>
      <c r="B588" s="12" t="s">
        <v>51</v>
      </c>
      <c r="C588" s="36">
        <v>28.76</v>
      </c>
      <c r="D588" s="36">
        <v>9.7200000000000006</v>
      </c>
      <c r="E588" s="36">
        <f t="shared" si="23"/>
        <v>19.04</v>
      </c>
      <c r="F588" s="12" t="s">
        <v>38</v>
      </c>
      <c r="G588" s="12" t="s">
        <v>153</v>
      </c>
      <c r="H588" s="13">
        <v>500</v>
      </c>
      <c r="I588" s="13">
        <f t="shared" si="24"/>
        <v>9520</v>
      </c>
      <c r="J588" s="13">
        <v>0</v>
      </c>
      <c r="K588" s="13">
        <f t="shared" si="25"/>
        <v>9520</v>
      </c>
      <c r="L588" s="13">
        <v>0</v>
      </c>
      <c r="M588" s="13">
        <f t="shared" si="21"/>
        <v>9520</v>
      </c>
      <c r="N588" s="64" t="s">
        <v>44</v>
      </c>
    </row>
    <row r="589" spans="1:14" ht="15.75" customHeight="1" x14ac:dyDescent="0.25">
      <c r="A589" s="458"/>
      <c r="B589" s="22" t="s">
        <v>30</v>
      </c>
      <c r="C589" s="37">
        <v>28.48</v>
      </c>
      <c r="D589" s="37">
        <v>9.61</v>
      </c>
      <c r="E589" s="37">
        <f t="shared" si="23"/>
        <v>18.87</v>
      </c>
      <c r="F589" s="22" t="s">
        <v>35</v>
      </c>
      <c r="G589" s="22" t="s">
        <v>153</v>
      </c>
      <c r="H589" s="23">
        <v>1100</v>
      </c>
      <c r="I589" s="23">
        <f t="shared" si="24"/>
        <v>20757</v>
      </c>
      <c r="J589" s="23">
        <v>0</v>
      </c>
      <c r="K589" s="23">
        <f t="shared" si="25"/>
        <v>20757</v>
      </c>
      <c r="L589" s="23">
        <v>0</v>
      </c>
      <c r="M589" s="23">
        <f t="shared" si="21"/>
        <v>20757</v>
      </c>
      <c r="N589" s="58" t="s">
        <v>44</v>
      </c>
    </row>
    <row r="590" spans="1:14" ht="15.75" customHeight="1" x14ac:dyDescent="0.25">
      <c r="A590" s="458"/>
      <c r="B590" s="22" t="s">
        <v>67</v>
      </c>
      <c r="C590" s="37">
        <v>29.21</v>
      </c>
      <c r="D590" s="37">
        <v>9.74</v>
      </c>
      <c r="E590" s="37">
        <f t="shared" si="23"/>
        <v>19.47</v>
      </c>
      <c r="F590" s="22" t="s">
        <v>35</v>
      </c>
      <c r="G590" s="22" t="s">
        <v>153</v>
      </c>
      <c r="H590" s="23">
        <v>1100</v>
      </c>
      <c r="I590" s="23">
        <f t="shared" si="24"/>
        <v>21417</v>
      </c>
      <c r="J590" s="23">
        <v>0</v>
      </c>
      <c r="K590" s="23">
        <f t="shared" si="25"/>
        <v>21417</v>
      </c>
      <c r="L590" s="23">
        <v>0</v>
      </c>
      <c r="M590" s="23">
        <f t="shared" si="21"/>
        <v>21417</v>
      </c>
      <c r="N590" s="58" t="s">
        <v>44</v>
      </c>
    </row>
    <row r="591" spans="1:14" ht="15.75" customHeight="1" x14ac:dyDescent="0.25">
      <c r="A591" s="458"/>
      <c r="B591" s="22" t="s">
        <v>115</v>
      </c>
      <c r="C591" s="37">
        <v>28.81</v>
      </c>
      <c r="D591" s="37">
        <v>9.7799999999999994</v>
      </c>
      <c r="E591" s="37">
        <f t="shared" si="23"/>
        <v>19.03</v>
      </c>
      <c r="F591" s="22" t="s">
        <v>35</v>
      </c>
      <c r="G591" s="22" t="s">
        <v>153</v>
      </c>
      <c r="H591" s="23">
        <v>1100</v>
      </c>
      <c r="I591" s="23">
        <f t="shared" si="24"/>
        <v>20933</v>
      </c>
      <c r="J591" s="23">
        <v>0</v>
      </c>
      <c r="K591" s="23">
        <f t="shared" si="25"/>
        <v>20933</v>
      </c>
      <c r="L591" s="23">
        <v>0</v>
      </c>
      <c r="M591" s="23">
        <f t="shared" si="21"/>
        <v>20933</v>
      </c>
      <c r="N591" s="58" t="s">
        <v>44</v>
      </c>
    </row>
    <row r="592" spans="1:14" ht="15.75" customHeight="1" x14ac:dyDescent="0.25">
      <c r="A592" s="458"/>
      <c r="B592" s="22" t="s">
        <v>49</v>
      </c>
      <c r="C592" s="37">
        <v>28.82</v>
      </c>
      <c r="D592" s="37">
        <v>9.75</v>
      </c>
      <c r="E592" s="37">
        <f t="shared" si="23"/>
        <v>19.07</v>
      </c>
      <c r="F592" s="22" t="s">
        <v>35</v>
      </c>
      <c r="G592" s="22" t="s">
        <v>153</v>
      </c>
      <c r="H592" s="23">
        <v>1100</v>
      </c>
      <c r="I592" s="23">
        <f t="shared" si="24"/>
        <v>20977</v>
      </c>
      <c r="J592" s="23">
        <v>0</v>
      </c>
      <c r="K592" s="23">
        <f t="shared" si="25"/>
        <v>20977</v>
      </c>
      <c r="L592" s="23">
        <v>0</v>
      </c>
      <c r="M592" s="23">
        <f t="shared" si="21"/>
        <v>20977</v>
      </c>
      <c r="N592" s="58" t="s">
        <v>44</v>
      </c>
    </row>
    <row r="593" spans="1:14" ht="15.75" customHeight="1" x14ac:dyDescent="0.25">
      <c r="A593" s="458"/>
      <c r="B593" s="22" t="s">
        <v>58</v>
      </c>
      <c r="C593" s="37">
        <v>29.56</v>
      </c>
      <c r="D593" s="37">
        <v>9.8800000000000008</v>
      </c>
      <c r="E593" s="37">
        <f t="shared" si="23"/>
        <v>19.68</v>
      </c>
      <c r="F593" s="22" t="s">
        <v>35</v>
      </c>
      <c r="G593" s="22" t="s">
        <v>153</v>
      </c>
      <c r="H593" s="23">
        <v>1100</v>
      </c>
      <c r="I593" s="23">
        <f t="shared" si="24"/>
        <v>21648</v>
      </c>
      <c r="J593" s="23">
        <v>0</v>
      </c>
      <c r="K593" s="23">
        <f t="shared" si="25"/>
        <v>21648</v>
      </c>
      <c r="L593" s="23">
        <v>0</v>
      </c>
      <c r="M593" s="23">
        <f t="shared" si="21"/>
        <v>21648</v>
      </c>
      <c r="N593" s="58" t="s">
        <v>44</v>
      </c>
    </row>
    <row r="594" spans="1:14" ht="15.75" customHeight="1" x14ac:dyDescent="0.25">
      <c r="A594" s="459"/>
      <c r="B594" s="15" t="s">
        <v>88</v>
      </c>
      <c r="C594" s="52">
        <v>29.11</v>
      </c>
      <c r="D594" s="52">
        <v>10.24</v>
      </c>
      <c r="E594" s="52">
        <f t="shared" si="23"/>
        <v>18.869999999999997</v>
      </c>
      <c r="F594" s="15" t="s">
        <v>38</v>
      </c>
      <c r="G594" s="15" t="s">
        <v>153</v>
      </c>
      <c r="H594" s="16">
        <v>500</v>
      </c>
      <c r="I594" s="16">
        <f t="shared" si="24"/>
        <v>9434.9999999999982</v>
      </c>
      <c r="J594" s="16">
        <v>0</v>
      </c>
      <c r="K594" s="16">
        <f t="shared" si="25"/>
        <v>9434.9999999999982</v>
      </c>
      <c r="L594" s="16">
        <v>0</v>
      </c>
      <c r="M594" s="16">
        <f t="shared" si="21"/>
        <v>9434.9999999999982</v>
      </c>
      <c r="N594" s="65" t="s">
        <v>44</v>
      </c>
    </row>
    <row r="595" spans="1:14" ht="15.75" customHeight="1" x14ac:dyDescent="0.25">
      <c r="A595" s="457">
        <v>45831</v>
      </c>
      <c r="B595" s="12" t="s">
        <v>22</v>
      </c>
      <c r="C595" s="36">
        <v>28.99</v>
      </c>
      <c r="D595" s="36">
        <v>9.7799999999999994</v>
      </c>
      <c r="E595" s="36">
        <f t="shared" si="23"/>
        <v>19.21</v>
      </c>
      <c r="F595" s="12" t="s">
        <v>26</v>
      </c>
      <c r="G595" s="12" t="s">
        <v>57</v>
      </c>
      <c r="H595" s="13">
        <v>1365</v>
      </c>
      <c r="I595" s="13">
        <f t="shared" si="24"/>
        <v>26221.65</v>
      </c>
      <c r="J595" s="13">
        <v>0</v>
      </c>
      <c r="K595" s="13">
        <f t="shared" si="25"/>
        <v>26221.65</v>
      </c>
      <c r="L595" s="13">
        <v>0</v>
      </c>
      <c r="M595" s="13">
        <f t="shared" si="21"/>
        <v>26221.65</v>
      </c>
      <c r="N595" s="64" t="s">
        <v>44</v>
      </c>
    </row>
    <row r="596" spans="1:14" ht="15.75" customHeight="1" x14ac:dyDescent="0.25">
      <c r="A596" s="458"/>
      <c r="B596" s="22" t="s">
        <v>47</v>
      </c>
      <c r="C596" s="37">
        <v>28.69</v>
      </c>
      <c r="D596" s="37">
        <v>9.6199999999999992</v>
      </c>
      <c r="E596" s="37">
        <f t="shared" si="23"/>
        <v>19.07</v>
      </c>
      <c r="F596" s="22" t="s">
        <v>26</v>
      </c>
      <c r="G596" s="22" t="s">
        <v>57</v>
      </c>
      <c r="H596" s="23">
        <v>1365</v>
      </c>
      <c r="I596" s="23">
        <f t="shared" si="24"/>
        <v>26030.55</v>
      </c>
      <c r="J596" s="23">
        <v>0</v>
      </c>
      <c r="K596" s="23">
        <f t="shared" si="25"/>
        <v>26030.55</v>
      </c>
      <c r="L596" s="23">
        <v>0</v>
      </c>
      <c r="M596" s="23">
        <f t="shared" si="21"/>
        <v>26030.55</v>
      </c>
      <c r="N596" s="58" t="s">
        <v>44</v>
      </c>
    </row>
    <row r="597" spans="1:14" ht="15.75" customHeight="1" x14ac:dyDescent="0.25">
      <c r="A597" s="458"/>
      <c r="B597" s="22" t="s">
        <v>42</v>
      </c>
      <c r="C597" s="37">
        <v>31.16</v>
      </c>
      <c r="D597" s="37">
        <v>9.48</v>
      </c>
      <c r="E597" s="37">
        <f t="shared" si="23"/>
        <v>21.68</v>
      </c>
      <c r="F597" s="22" t="s">
        <v>26</v>
      </c>
      <c r="G597" s="22" t="s">
        <v>57</v>
      </c>
      <c r="H597" s="23">
        <v>1365</v>
      </c>
      <c r="I597" s="23">
        <f t="shared" si="24"/>
        <v>29593.200000000001</v>
      </c>
      <c r="J597" s="23">
        <v>0</v>
      </c>
      <c r="K597" s="23">
        <f t="shared" si="25"/>
        <v>29593.200000000001</v>
      </c>
      <c r="L597" s="23">
        <v>0</v>
      </c>
      <c r="M597" s="23">
        <f t="shared" si="21"/>
        <v>29593.200000000001</v>
      </c>
      <c r="N597" s="58" t="s">
        <v>44</v>
      </c>
    </row>
    <row r="598" spans="1:14" ht="15.75" customHeight="1" x14ac:dyDescent="0.25">
      <c r="A598" s="458"/>
      <c r="B598" s="22" t="s">
        <v>112</v>
      </c>
      <c r="C598" s="37">
        <v>7.73</v>
      </c>
      <c r="D598" s="37">
        <v>3.57</v>
      </c>
      <c r="E598" s="37">
        <f t="shared" si="23"/>
        <v>4.16</v>
      </c>
      <c r="F598" s="22" t="s">
        <v>38</v>
      </c>
      <c r="G598" s="22" t="s">
        <v>176</v>
      </c>
      <c r="H598" s="23">
        <v>500</v>
      </c>
      <c r="I598" s="23">
        <f t="shared" si="24"/>
        <v>2080</v>
      </c>
      <c r="J598" s="23">
        <v>0</v>
      </c>
      <c r="K598" s="23">
        <f t="shared" si="25"/>
        <v>2080</v>
      </c>
      <c r="L598" s="23">
        <v>80</v>
      </c>
      <c r="M598" s="23">
        <f t="shared" si="21"/>
        <v>2000</v>
      </c>
      <c r="N598" s="58" t="s">
        <v>20</v>
      </c>
    </row>
    <row r="599" spans="1:14" ht="15.75" customHeight="1" x14ac:dyDescent="0.25">
      <c r="A599" s="458"/>
      <c r="B599" s="22" t="s">
        <v>47</v>
      </c>
      <c r="C599" s="37">
        <v>26.75</v>
      </c>
      <c r="D599" s="37">
        <v>9.56</v>
      </c>
      <c r="E599" s="37">
        <f t="shared" si="23"/>
        <v>17.189999999999998</v>
      </c>
      <c r="F599" s="22" t="s">
        <v>26</v>
      </c>
      <c r="G599" s="22" t="s">
        <v>57</v>
      </c>
      <c r="H599" s="23">
        <v>1365</v>
      </c>
      <c r="I599" s="23">
        <f t="shared" si="24"/>
        <v>23464.35</v>
      </c>
      <c r="J599" s="23">
        <v>0</v>
      </c>
      <c r="K599" s="23">
        <f t="shared" si="25"/>
        <v>23464.35</v>
      </c>
      <c r="L599" s="23">
        <v>0</v>
      </c>
      <c r="M599" s="23">
        <f t="shared" si="21"/>
        <v>23464.35</v>
      </c>
      <c r="N599" s="58" t="s">
        <v>44</v>
      </c>
    </row>
    <row r="600" spans="1:14" ht="15.75" customHeight="1" x14ac:dyDescent="0.25">
      <c r="A600" s="458"/>
      <c r="B600" s="22" t="s">
        <v>42</v>
      </c>
      <c r="C600" s="37">
        <v>27.54</v>
      </c>
      <c r="D600" s="37">
        <v>9.57</v>
      </c>
      <c r="E600" s="37">
        <f t="shared" si="23"/>
        <v>17.97</v>
      </c>
      <c r="F600" s="22" t="s">
        <v>26</v>
      </c>
      <c r="G600" s="22" t="s">
        <v>57</v>
      </c>
      <c r="H600" s="23">
        <v>1365</v>
      </c>
      <c r="I600" s="23">
        <f t="shared" si="24"/>
        <v>24529.05</v>
      </c>
      <c r="J600" s="23">
        <v>0</v>
      </c>
      <c r="K600" s="23">
        <f t="shared" si="25"/>
        <v>24529.05</v>
      </c>
      <c r="L600" s="23">
        <v>0</v>
      </c>
      <c r="M600" s="23">
        <f t="shared" si="21"/>
        <v>24529.05</v>
      </c>
      <c r="N600" s="58" t="s">
        <v>44</v>
      </c>
    </row>
    <row r="601" spans="1:14" ht="15.75" customHeight="1" x14ac:dyDescent="0.25">
      <c r="A601" s="458"/>
      <c r="B601" s="33" t="s">
        <v>22</v>
      </c>
      <c r="C601" s="39">
        <v>26.88</v>
      </c>
      <c r="D601" s="39">
        <v>9.84</v>
      </c>
      <c r="E601" s="39">
        <f t="shared" si="23"/>
        <v>17.04</v>
      </c>
      <c r="F601" s="33" t="s">
        <v>26</v>
      </c>
      <c r="G601" s="33" t="s">
        <v>57</v>
      </c>
      <c r="H601" s="34">
        <v>1365</v>
      </c>
      <c r="I601" s="34">
        <f t="shared" si="24"/>
        <v>23259.599999999999</v>
      </c>
      <c r="J601" s="34">
        <v>0</v>
      </c>
      <c r="K601" s="34">
        <f t="shared" si="25"/>
        <v>23259.599999999999</v>
      </c>
      <c r="L601" s="34">
        <v>0</v>
      </c>
      <c r="M601" s="34">
        <f t="shared" si="21"/>
        <v>23259.599999999999</v>
      </c>
      <c r="N601" s="63" t="s">
        <v>44</v>
      </c>
    </row>
    <row r="602" spans="1:14" ht="15.75" customHeight="1" x14ac:dyDescent="0.25">
      <c r="A602" s="457">
        <v>45832</v>
      </c>
      <c r="B602" s="12" t="s">
        <v>51</v>
      </c>
      <c r="C602" s="36">
        <v>27.5</v>
      </c>
      <c r="D602" s="36">
        <v>9.85</v>
      </c>
      <c r="E602" s="36">
        <f t="shared" si="23"/>
        <v>17.649999999999999</v>
      </c>
      <c r="F602" s="12" t="s">
        <v>26</v>
      </c>
      <c r="G602" s="12" t="s">
        <v>57</v>
      </c>
      <c r="H602" s="13">
        <v>1365</v>
      </c>
      <c r="I602" s="13">
        <f t="shared" si="24"/>
        <v>24092.249999999996</v>
      </c>
      <c r="J602" s="13">
        <v>0</v>
      </c>
      <c r="K602" s="13">
        <f t="shared" si="25"/>
        <v>24092.249999999996</v>
      </c>
      <c r="L602" s="13">
        <v>0</v>
      </c>
      <c r="M602" s="13">
        <f t="shared" si="21"/>
        <v>24092.249999999996</v>
      </c>
      <c r="N602" s="64" t="s">
        <v>44</v>
      </c>
    </row>
    <row r="603" spans="1:14" ht="15.75" customHeight="1" x14ac:dyDescent="0.25">
      <c r="A603" s="458"/>
      <c r="B603" s="22" t="s">
        <v>49</v>
      </c>
      <c r="C603" s="37">
        <v>27.38</v>
      </c>
      <c r="D603" s="37">
        <v>9.57</v>
      </c>
      <c r="E603" s="37">
        <f t="shared" si="23"/>
        <v>17.809999999999999</v>
      </c>
      <c r="F603" s="22" t="s">
        <v>26</v>
      </c>
      <c r="G603" s="22" t="s">
        <v>57</v>
      </c>
      <c r="H603" s="23">
        <v>1365</v>
      </c>
      <c r="I603" s="23">
        <f t="shared" si="24"/>
        <v>24310.649999999998</v>
      </c>
      <c r="J603" s="23">
        <v>0</v>
      </c>
      <c r="K603" s="23">
        <f t="shared" si="25"/>
        <v>24310.649999999998</v>
      </c>
      <c r="L603" s="23">
        <v>0</v>
      </c>
      <c r="M603" s="23">
        <f t="shared" si="21"/>
        <v>24310.649999999998</v>
      </c>
      <c r="N603" s="58" t="s">
        <v>44</v>
      </c>
    </row>
    <row r="604" spans="1:14" ht="15.75" customHeight="1" x14ac:dyDescent="0.25">
      <c r="A604" s="458"/>
      <c r="B604" s="22" t="s">
        <v>67</v>
      </c>
      <c r="C604" s="37">
        <v>28.5</v>
      </c>
      <c r="D604" s="37">
        <v>9.9600000000000009</v>
      </c>
      <c r="E604" s="37">
        <f t="shared" si="23"/>
        <v>18.54</v>
      </c>
      <c r="F604" s="22" t="s">
        <v>26</v>
      </c>
      <c r="G604" s="22" t="s">
        <v>57</v>
      </c>
      <c r="H604" s="23">
        <v>1365</v>
      </c>
      <c r="I604" s="23">
        <f t="shared" si="24"/>
        <v>25307.1</v>
      </c>
      <c r="J604" s="23">
        <v>0</v>
      </c>
      <c r="K604" s="23">
        <f t="shared" si="25"/>
        <v>25307.1</v>
      </c>
      <c r="L604" s="23">
        <v>0</v>
      </c>
      <c r="M604" s="23">
        <f t="shared" si="21"/>
        <v>25307.1</v>
      </c>
      <c r="N604" s="58" t="s">
        <v>44</v>
      </c>
    </row>
    <row r="605" spans="1:14" ht="15.75" customHeight="1" x14ac:dyDescent="0.25">
      <c r="A605" s="458"/>
      <c r="B605" s="22" t="s">
        <v>58</v>
      </c>
      <c r="C605" s="37">
        <v>28.77</v>
      </c>
      <c r="D605" s="37">
        <v>9.92</v>
      </c>
      <c r="E605" s="37">
        <f t="shared" si="23"/>
        <v>18.850000000000001</v>
      </c>
      <c r="F605" s="22" t="s">
        <v>26</v>
      </c>
      <c r="G605" s="22" t="s">
        <v>57</v>
      </c>
      <c r="H605" s="23">
        <v>1365</v>
      </c>
      <c r="I605" s="23">
        <f t="shared" si="24"/>
        <v>25730.250000000004</v>
      </c>
      <c r="J605" s="23">
        <v>0</v>
      </c>
      <c r="K605" s="23">
        <f t="shared" si="25"/>
        <v>25730.250000000004</v>
      </c>
      <c r="L605" s="23">
        <v>0</v>
      </c>
      <c r="M605" s="23">
        <f t="shared" si="21"/>
        <v>25730.250000000004</v>
      </c>
      <c r="N605" s="58" t="s">
        <v>20</v>
      </c>
    </row>
    <row r="606" spans="1:14" ht="15.75" customHeight="1" x14ac:dyDescent="0.25">
      <c r="A606" s="458"/>
      <c r="B606" s="22" t="s">
        <v>30</v>
      </c>
      <c r="C606" s="37">
        <v>26.97</v>
      </c>
      <c r="D606" s="37">
        <v>9.66</v>
      </c>
      <c r="E606" s="37">
        <f t="shared" si="23"/>
        <v>17.309999999999999</v>
      </c>
      <c r="F606" s="22" t="s">
        <v>26</v>
      </c>
      <c r="G606" s="22" t="s">
        <v>57</v>
      </c>
      <c r="H606" s="23">
        <v>1365</v>
      </c>
      <c r="I606" s="23">
        <f t="shared" si="24"/>
        <v>23628.149999999998</v>
      </c>
      <c r="J606" s="23">
        <v>0</v>
      </c>
      <c r="K606" s="23">
        <f t="shared" si="25"/>
        <v>23628.149999999998</v>
      </c>
      <c r="L606" s="23">
        <v>0</v>
      </c>
      <c r="M606" s="23">
        <f t="shared" si="21"/>
        <v>23628.149999999998</v>
      </c>
      <c r="N606" s="58" t="s">
        <v>44</v>
      </c>
    </row>
    <row r="607" spans="1:14" ht="15.75" customHeight="1" x14ac:dyDescent="0.25">
      <c r="A607" s="458"/>
      <c r="B607" s="22" t="s">
        <v>47</v>
      </c>
      <c r="C607" s="37">
        <v>27.61</v>
      </c>
      <c r="D607" s="37">
        <v>9.65</v>
      </c>
      <c r="E607" s="37">
        <f t="shared" si="23"/>
        <v>17.96</v>
      </c>
      <c r="F607" s="22" t="s">
        <v>35</v>
      </c>
      <c r="G607" s="22" t="s">
        <v>177</v>
      </c>
      <c r="H607" s="23">
        <v>1250</v>
      </c>
      <c r="I607" s="23">
        <f t="shared" si="24"/>
        <v>22450</v>
      </c>
      <c r="J607" s="23">
        <v>2500</v>
      </c>
      <c r="K607" s="23">
        <f t="shared" si="25"/>
        <v>24950</v>
      </c>
      <c r="L607" s="23">
        <v>0</v>
      </c>
      <c r="M607" s="23">
        <f t="shared" si="21"/>
        <v>24950</v>
      </c>
      <c r="N607" s="58" t="s">
        <v>25</v>
      </c>
    </row>
    <row r="608" spans="1:14" ht="15.75" customHeight="1" x14ac:dyDescent="0.25">
      <c r="A608" s="458"/>
      <c r="B608" s="22" t="s">
        <v>22</v>
      </c>
      <c r="C608" s="37">
        <v>17.93</v>
      </c>
      <c r="D608" s="37">
        <v>9.9</v>
      </c>
      <c r="E608" s="37">
        <f t="shared" si="23"/>
        <v>8.0299999999999994</v>
      </c>
      <c r="F608" s="22" t="s">
        <v>18</v>
      </c>
      <c r="G608" s="22" t="s">
        <v>178</v>
      </c>
      <c r="H608" s="23">
        <v>1200</v>
      </c>
      <c r="I608" s="23">
        <f t="shared" si="24"/>
        <v>9636</v>
      </c>
      <c r="J608" s="23">
        <v>2000</v>
      </c>
      <c r="K608" s="23">
        <f t="shared" si="25"/>
        <v>11636</v>
      </c>
      <c r="L608" s="23">
        <v>0</v>
      </c>
      <c r="M608" s="23">
        <f t="shared" si="21"/>
        <v>11636</v>
      </c>
      <c r="N608" s="58" t="s">
        <v>20</v>
      </c>
    </row>
    <row r="609" spans="1:14" ht="15.75" customHeight="1" x14ac:dyDescent="0.25">
      <c r="A609" s="458"/>
      <c r="B609" s="22" t="s">
        <v>115</v>
      </c>
      <c r="C609" s="37">
        <v>28.62</v>
      </c>
      <c r="D609" s="37">
        <v>9.74</v>
      </c>
      <c r="E609" s="37">
        <f t="shared" si="23"/>
        <v>18.880000000000003</v>
      </c>
      <c r="F609" s="22" t="s">
        <v>26</v>
      </c>
      <c r="G609" s="22" t="s">
        <v>156</v>
      </c>
      <c r="H609" s="23">
        <v>1225</v>
      </c>
      <c r="I609" s="23">
        <f t="shared" si="24"/>
        <v>23128.000000000004</v>
      </c>
      <c r="J609" s="23">
        <v>0</v>
      </c>
      <c r="K609" s="23">
        <f t="shared" si="25"/>
        <v>23128.000000000004</v>
      </c>
      <c r="L609" s="23">
        <v>0</v>
      </c>
      <c r="M609" s="23">
        <f t="shared" si="21"/>
        <v>23128.000000000004</v>
      </c>
      <c r="N609" s="24" t="s">
        <v>44</v>
      </c>
    </row>
    <row r="610" spans="1:14" ht="15.75" customHeight="1" x14ac:dyDescent="0.25">
      <c r="A610" s="458"/>
      <c r="B610" s="22" t="s">
        <v>47</v>
      </c>
      <c r="C610" s="37">
        <v>28.33</v>
      </c>
      <c r="D610" s="37">
        <v>9.66</v>
      </c>
      <c r="E610" s="37">
        <f t="shared" si="23"/>
        <v>18.669999999999998</v>
      </c>
      <c r="F610" s="22" t="s">
        <v>26</v>
      </c>
      <c r="G610" s="22" t="s">
        <v>156</v>
      </c>
      <c r="H610" s="23">
        <v>1225</v>
      </c>
      <c r="I610" s="23">
        <f t="shared" si="24"/>
        <v>22870.749999999996</v>
      </c>
      <c r="J610" s="23">
        <v>0</v>
      </c>
      <c r="K610" s="23">
        <f t="shared" si="25"/>
        <v>22870.749999999996</v>
      </c>
      <c r="L610" s="23">
        <v>0</v>
      </c>
      <c r="M610" s="23">
        <f t="shared" si="21"/>
        <v>22870.749999999996</v>
      </c>
      <c r="N610" s="24" t="s">
        <v>44</v>
      </c>
    </row>
    <row r="611" spans="1:14" ht="15.75" customHeight="1" x14ac:dyDescent="0.25">
      <c r="A611" s="458"/>
      <c r="B611" s="22" t="s">
        <v>22</v>
      </c>
      <c r="C611" s="37">
        <v>28.65</v>
      </c>
      <c r="D611" s="37">
        <v>9.93</v>
      </c>
      <c r="E611" s="37">
        <f t="shared" si="23"/>
        <v>18.72</v>
      </c>
      <c r="F611" s="22" t="s">
        <v>26</v>
      </c>
      <c r="G611" s="22" t="s">
        <v>156</v>
      </c>
      <c r="H611" s="23">
        <v>1225</v>
      </c>
      <c r="I611" s="23">
        <f t="shared" si="24"/>
        <v>22932</v>
      </c>
      <c r="J611" s="23">
        <v>0</v>
      </c>
      <c r="K611" s="23">
        <f t="shared" si="25"/>
        <v>22932</v>
      </c>
      <c r="L611" s="23">
        <v>0</v>
      </c>
      <c r="M611" s="23">
        <f t="shared" si="21"/>
        <v>22932</v>
      </c>
      <c r="N611" s="24" t="s">
        <v>44</v>
      </c>
    </row>
    <row r="612" spans="1:14" ht="15.75" customHeight="1" x14ac:dyDescent="0.25">
      <c r="A612" s="458"/>
      <c r="B612" s="22" t="s">
        <v>179</v>
      </c>
      <c r="C612" s="37">
        <v>5.12</v>
      </c>
      <c r="D612" s="37">
        <v>2.2799999999999998</v>
      </c>
      <c r="E612" s="37">
        <f t="shared" si="23"/>
        <v>2.8400000000000003</v>
      </c>
      <c r="F612" s="22" t="s">
        <v>35</v>
      </c>
      <c r="G612" s="22" t="s">
        <v>180</v>
      </c>
      <c r="H612" s="23">
        <v>1250</v>
      </c>
      <c r="I612" s="23">
        <f t="shared" si="24"/>
        <v>3550.0000000000005</v>
      </c>
      <c r="J612" s="23">
        <v>0</v>
      </c>
      <c r="K612" s="23">
        <f t="shared" si="25"/>
        <v>3550.0000000000005</v>
      </c>
      <c r="L612" s="23">
        <v>0</v>
      </c>
      <c r="M612" s="23">
        <f t="shared" si="21"/>
        <v>3550.0000000000005</v>
      </c>
      <c r="N612" s="24" t="s">
        <v>20</v>
      </c>
    </row>
    <row r="613" spans="1:14" ht="15.75" customHeight="1" x14ac:dyDescent="0.25">
      <c r="A613" s="459"/>
      <c r="B613" s="15" t="s">
        <v>181</v>
      </c>
      <c r="C613" s="52">
        <v>8.14</v>
      </c>
      <c r="D613" s="52">
        <v>3.13</v>
      </c>
      <c r="E613" s="52">
        <f t="shared" si="23"/>
        <v>5.0100000000000007</v>
      </c>
      <c r="F613" s="15" t="s">
        <v>23</v>
      </c>
      <c r="G613" s="15" t="s">
        <v>182</v>
      </c>
      <c r="H613" s="16">
        <v>1350</v>
      </c>
      <c r="I613" s="16">
        <f t="shared" si="24"/>
        <v>6763.5000000000009</v>
      </c>
      <c r="J613" s="16">
        <v>0</v>
      </c>
      <c r="K613" s="16">
        <f t="shared" si="25"/>
        <v>6763.5000000000009</v>
      </c>
      <c r="L613" s="16">
        <v>3.5</v>
      </c>
      <c r="M613" s="16">
        <f t="shared" si="21"/>
        <v>6760.0000000000009</v>
      </c>
      <c r="N613" s="17" t="s">
        <v>20</v>
      </c>
    </row>
    <row r="614" spans="1:14" ht="15.75" customHeight="1" x14ac:dyDescent="0.25">
      <c r="A614" s="66">
        <v>45833</v>
      </c>
      <c r="B614" s="25" t="s">
        <v>183</v>
      </c>
      <c r="C614" s="67">
        <v>14.86</v>
      </c>
      <c r="D614" s="67">
        <v>6.65</v>
      </c>
      <c r="E614" s="67">
        <f t="shared" si="23"/>
        <v>8.2099999999999991</v>
      </c>
      <c r="F614" s="25" t="s">
        <v>23</v>
      </c>
      <c r="G614" s="25" t="s">
        <v>184</v>
      </c>
      <c r="H614" s="68">
        <v>1350</v>
      </c>
      <c r="I614" s="26">
        <f t="shared" si="24"/>
        <v>11083.499999999998</v>
      </c>
      <c r="J614" s="68">
        <v>0</v>
      </c>
      <c r="K614" s="26">
        <f t="shared" si="25"/>
        <v>11083.499999999998</v>
      </c>
      <c r="L614" s="68">
        <v>83.5</v>
      </c>
      <c r="M614" s="26">
        <f t="shared" si="21"/>
        <v>10999.999999999998</v>
      </c>
      <c r="N614" s="27" t="s">
        <v>25</v>
      </c>
    </row>
    <row r="615" spans="1:14" ht="15.75" customHeight="1" x14ac:dyDescent="0.25">
      <c r="A615" s="457">
        <v>45838</v>
      </c>
      <c r="B615" s="12" t="s">
        <v>42</v>
      </c>
      <c r="C615" s="36">
        <v>28.27</v>
      </c>
      <c r="D615" s="36">
        <v>9.59</v>
      </c>
      <c r="E615" s="36">
        <f t="shared" si="23"/>
        <v>18.68</v>
      </c>
      <c r="F615" s="12" t="s">
        <v>23</v>
      </c>
      <c r="G615" s="12" t="s">
        <v>50</v>
      </c>
      <c r="H615" s="13">
        <v>1250</v>
      </c>
      <c r="I615" s="13">
        <f t="shared" si="24"/>
        <v>23350</v>
      </c>
      <c r="J615" s="13">
        <v>0</v>
      </c>
      <c r="K615" s="13">
        <f t="shared" si="25"/>
        <v>23350</v>
      </c>
      <c r="L615" s="13">
        <v>0</v>
      </c>
      <c r="M615" s="13">
        <f t="shared" si="21"/>
        <v>23350</v>
      </c>
      <c r="N615" s="14" t="s">
        <v>44</v>
      </c>
    </row>
    <row r="616" spans="1:14" ht="15.75" customHeight="1" x14ac:dyDescent="0.25">
      <c r="A616" s="458"/>
      <c r="B616" s="22" t="s">
        <v>47</v>
      </c>
      <c r="C616" s="37">
        <v>28.99</v>
      </c>
      <c r="D616" s="37">
        <v>9.6</v>
      </c>
      <c r="E616" s="37">
        <f t="shared" si="23"/>
        <v>19.39</v>
      </c>
      <c r="F616" s="22" t="s">
        <v>23</v>
      </c>
      <c r="G616" s="22" t="s">
        <v>50</v>
      </c>
      <c r="H616" s="23">
        <v>1250</v>
      </c>
      <c r="I616" s="23">
        <f t="shared" si="24"/>
        <v>24237.5</v>
      </c>
      <c r="J616" s="23">
        <v>0</v>
      </c>
      <c r="K616" s="23">
        <f t="shared" si="25"/>
        <v>24237.5</v>
      </c>
      <c r="L616" s="23">
        <v>0</v>
      </c>
      <c r="M616" s="23">
        <f t="shared" si="21"/>
        <v>24237.5</v>
      </c>
      <c r="N616" s="24" t="s">
        <v>44</v>
      </c>
    </row>
    <row r="617" spans="1:14" ht="15.75" customHeight="1" x14ac:dyDescent="0.25">
      <c r="A617" s="458"/>
      <c r="B617" s="22" t="s">
        <v>22</v>
      </c>
      <c r="C617" s="37">
        <v>28.79</v>
      </c>
      <c r="D617" s="37">
        <v>9.81</v>
      </c>
      <c r="E617" s="37">
        <f t="shared" si="23"/>
        <v>18.979999999999997</v>
      </c>
      <c r="F617" s="22" t="s">
        <v>23</v>
      </c>
      <c r="G617" s="22" t="s">
        <v>50</v>
      </c>
      <c r="H617" s="23">
        <v>1250</v>
      </c>
      <c r="I617" s="23">
        <f t="shared" si="24"/>
        <v>23724.999999999996</v>
      </c>
      <c r="J617" s="23">
        <v>0</v>
      </c>
      <c r="K617" s="23">
        <f t="shared" si="25"/>
        <v>23724.999999999996</v>
      </c>
      <c r="L617" s="23">
        <v>0</v>
      </c>
      <c r="M617" s="23">
        <f t="shared" si="21"/>
        <v>23724.999999999996</v>
      </c>
      <c r="N617" s="24" t="s">
        <v>44</v>
      </c>
    </row>
    <row r="618" spans="1:14" ht="15.75" customHeight="1" x14ac:dyDescent="0.25">
      <c r="A618" s="458"/>
      <c r="B618" s="22" t="s">
        <v>42</v>
      </c>
      <c r="C618" s="37">
        <v>29.1</v>
      </c>
      <c r="D618" s="37">
        <v>9.8000000000000007</v>
      </c>
      <c r="E618" s="37">
        <f t="shared" si="23"/>
        <v>19.3</v>
      </c>
      <c r="F618" s="22" t="s">
        <v>23</v>
      </c>
      <c r="G618" s="22" t="s">
        <v>50</v>
      </c>
      <c r="H618" s="23">
        <v>1250</v>
      </c>
      <c r="I618" s="23">
        <f t="shared" si="24"/>
        <v>24125</v>
      </c>
      <c r="J618" s="23">
        <v>0</v>
      </c>
      <c r="K618" s="23">
        <f t="shared" si="25"/>
        <v>24125</v>
      </c>
      <c r="L618" s="23">
        <v>0</v>
      </c>
      <c r="M618" s="23">
        <f t="shared" si="21"/>
        <v>24125</v>
      </c>
      <c r="N618" s="24" t="s">
        <v>44</v>
      </c>
    </row>
    <row r="619" spans="1:14" ht="15.75" customHeight="1" x14ac:dyDescent="0.25">
      <c r="A619" s="458"/>
      <c r="B619" s="22" t="s">
        <v>47</v>
      </c>
      <c r="C619" s="37">
        <v>27.57</v>
      </c>
      <c r="D619" s="37">
        <v>9.59</v>
      </c>
      <c r="E619" s="37">
        <f t="shared" si="23"/>
        <v>17.98</v>
      </c>
      <c r="F619" s="22" t="s">
        <v>26</v>
      </c>
      <c r="G619" s="22" t="s">
        <v>57</v>
      </c>
      <c r="H619" s="23">
        <v>1365</v>
      </c>
      <c r="I619" s="23">
        <f t="shared" si="24"/>
        <v>24542.7</v>
      </c>
      <c r="J619" s="23">
        <v>0</v>
      </c>
      <c r="K619" s="23">
        <f t="shared" si="25"/>
        <v>24542.7</v>
      </c>
      <c r="L619" s="23">
        <v>0</v>
      </c>
      <c r="M619" s="23">
        <f t="shared" si="21"/>
        <v>24542.7</v>
      </c>
      <c r="N619" s="24" t="s">
        <v>44</v>
      </c>
    </row>
    <row r="620" spans="1:14" ht="15.75" customHeight="1" x14ac:dyDescent="0.25">
      <c r="A620" s="460"/>
      <c r="B620" s="33" t="s">
        <v>22</v>
      </c>
      <c r="C620" s="39">
        <v>28.12</v>
      </c>
      <c r="D620" s="39">
        <v>9.92</v>
      </c>
      <c r="E620" s="39">
        <f t="shared" si="23"/>
        <v>18.200000000000003</v>
      </c>
      <c r="F620" s="33" t="s">
        <v>26</v>
      </c>
      <c r="G620" s="33" t="s">
        <v>57</v>
      </c>
      <c r="H620" s="34">
        <v>1365</v>
      </c>
      <c r="I620" s="34">
        <f t="shared" si="24"/>
        <v>24843.000000000004</v>
      </c>
      <c r="J620" s="34">
        <v>0</v>
      </c>
      <c r="K620" s="34">
        <f t="shared" si="25"/>
        <v>24843.000000000004</v>
      </c>
      <c r="L620" s="34">
        <v>0</v>
      </c>
      <c r="M620" s="34">
        <f t="shared" si="21"/>
        <v>24843.000000000004</v>
      </c>
      <c r="N620" s="17" t="s">
        <v>44</v>
      </c>
    </row>
    <row r="621" spans="1:14" ht="15.75" customHeight="1" x14ac:dyDescent="0.25">
      <c r="A621" s="466" t="s">
        <v>83</v>
      </c>
      <c r="B621" s="462"/>
      <c r="C621" s="69">
        <f t="shared" ref="C621:E621" si="26">SUM(C396:C620)</f>
        <v>6255.08</v>
      </c>
      <c r="D621" s="69">
        <f t="shared" si="26"/>
        <v>2115.6400000000003</v>
      </c>
      <c r="E621" s="69">
        <f t="shared" si="26"/>
        <v>4138.5699999999961</v>
      </c>
      <c r="F621" s="70"/>
      <c r="G621" s="70"/>
      <c r="H621" s="6">
        <f t="shared" ref="H621:M621" si="27">SUM(H396:H620)</f>
        <v>230405</v>
      </c>
      <c r="I621" s="6">
        <f t="shared" si="27"/>
        <v>4158846.3499999996</v>
      </c>
      <c r="J621" s="6">
        <f t="shared" si="27"/>
        <v>19129.5</v>
      </c>
      <c r="K621" s="6">
        <f t="shared" si="27"/>
        <v>4177975.8499999996</v>
      </c>
      <c r="L621" s="6">
        <f t="shared" si="27"/>
        <v>695</v>
      </c>
      <c r="M621" s="71">
        <f t="shared" si="27"/>
        <v>4177280.8499999996</v>
      </c>
    </row>
    <row r="622" spans="1:14" ht="15.75" customHeight="1" x14ac:dyDescent="0.25"/>
    <row r="623" spans="1:14" ht="15.75" customHeight="1" x14ac:dyDescent="0.25"/>
    <row r="624" spans="1:14" ht="32.25" x14ac:dyDescent="0.25">
      <c r="A624" s="463" t="s">
        <v>185</v>
      </c>
      <c r="B624" s="464"/>
      <c r="C624" s="464"/>
      <c r="D624" s="464"/>
      <c r="E624" s="464"/>
      <c r="F624" s="464"/>
      <c r="G624" s="464"/>
      <c r="H624" s="464"/>
      <c r="I624" s="464"/>
      <c r="J624" s="464"/>
      <c r="K624" s="464"/>
      <c r="L624" s="464"/>
      <c r="M624" s="464"/>
      <c r="N624" s="465"/>
    </row>
    <row r="625" spans="1:17" ht="15.75" customHeight="1" x14ac:dyDescent="0.25">
      <c r="A625" s="47" t="s">
        <v>1</v>
      </c>
      <c r="B625" s="48" t="s">
        <v>2</v>
      </c>
      <c r="C625" s="49" t="s">
        <v>3</v>
      </c>
      <c r="D625" s="49" t="s">
        <v>4</v>
      </c>
      <c r="E625" s="49" t="s">
        <v>5</v>
      </c>
      <c r="F625" s="48" t="s">
        <v>6</v>
      </c>
      <c r="G625" s="48" t="s">
        <v>7</v>
      </c>
      <c r="H625" s="50" t="s">
        <v>8</v>
      </c>
      <c r="I625" s="48" t="s">
        <v>9</v>
      </c>
      <c r="J625" s="50" t="s">
        <v>10</v>
      </c>
      <c r="K625" s="48" t="s">
        <v>11</v>
      </c>
      <c r="L625" s="50" t="s">
        <v>12</v>
      </c>
      <c r="M625" s="48" t="s">
        <v>13</v>
      </c>
      <c r="N625" s="51" t="s">
        <v>14</v>
      </c>
      <c r="P625" s="1" t="s">
        <v>15</v>
      </c>
      <c r="Q625" s="3" t="s">
        <v>16</v>
      </c>
    </row>
    <row r="626" spans="1:17" ht="15.75" customHeight="1" x14ac:dyDescent="0.25">
      <c r="A626" s="467">
        <v>45839</v>
      </c>
      <c r="B626" s="22" t="s">
        <v>40</v>
      </c>
      <c r="C626" s="37">
        <v>6.96</v>
      </c>
      <c r="D626" s="37">
        <v>3.14</v>
      </c>
      <c r="E626" s="37">
        <f t="shared" ref="E626:E658" si="28">C626-D626</f>
        <v>3.82</v>
      </c>
      <c r="F626" s="22" t="s">
        <v>23</v>
      </c>
      <c r="G626" s="22" t="s">
        <v>186</v>
      </c>
      <c r="H626" s="23">
        <v>1350</v>
      </c>
      <c r="I626" s="23">
        <f t="shared" ref="I626:I658" si="29">E626*H626</f>
        <v>5157</v>
      </c>
      <c r="J626" s="23">
        <v>0</v>
      </c>
      <c r="K626" s="23">
        <f t="shared" ref="K626:K658" si="30">I626+J626</f>
        <v>5157</v>
      </c>
      <c r="L626" s="23">
        <v>7</v>
      </c>
      <c r="M626" s="23">
        <f t="shared" ref="M626:M658" si="31">K626-L626</f>
        <v>5150</v>
      </c>
      <c r="N626" s="22" t="s">
        <v>20</v>
      </c>
      <c r="P626" s="8" t="s">
        <v>21</v>
      </c>
      <c r="Q626" s="9">
        <v>48.53</v>
      </c>
    </row>
    <row r="627" spans="1:17" ht="15.75" customHeight="1" x14ac:dyDescent="0.25">
      <c r="A627" s="468"/>
      <c r="B627" s="22" t="s">
        <v>187</v>
      </c>
      <c r="C627" s="37">
        <v>7.7</v>
      </c>
      <c r="D627" s="37">
        <v>3.02</v>
      </c>
      <c r="E627" s="37">
        <f t="shared" si="28"/>
        <v>4.68</v>
      </c>
      <c r="F627" s="22" t="s">
        <v>23</v>
      </c>
      <c r="G627" s="22" t="s">
        <v>188</v>
      </c>
      <c r="H627" s="23">
        <v>1350</v>
      </c>
      <c r="I627" s="23">
        <f t="shared" si="29"/>
        <v>6318</v>
      </c>
      <c r="J627" s="23">
        <v>0</v>
      </c>
      <c r="K627" s="23">
        <f t="shared" si="30"/>
        <v>6318</v>
      </c>
      <c r="L627" s="23">
        <v>18</v>
      </c>
      <c r="M627" s="23">
        <f t="shared" si="31"/>
        <v>6300</v>
      </c>
      <c r="N627" s="22" t="s">
        <v>20</v>
      </c>
      <c r="P627" s="10" t="s">
        <v>26</v>
      </c>
      <c r="Q627" s="11">
        <v>18.53</v>
      </c>
    </row>
    <row r="628" spans="1:17" ht="15.75" customHeight="1" x14ac:dyDescent="0.25">
      <c r="A628" s="468"/>
      <c r="B628" s="22" t="s">
        <v>40</v>
      </c>
      <c r="C628" s="37">
        <v>6.97</v>
      </c>
      <c r="D628" s="37">
        <v>3.18</v>
      </c>
      <c r="E628" s="37">
        <f t="shared" si="28"/>
        <v>3.7899999999999996</v>
      </c>
      <c r="F628" s="22" t="s">
        <v>23</v>
      </c>
      <c r="G628" s="22" t="s">
        <v>41</v>
      </c>
      <c r="H628" s="23">
        <v>1350</v>
      </c>
      <c r="I628" s="23">
        <f t="shared" si="29"/>
        <v>5116.4999999999991</v>
      </c>
      <c r="J628" s="23">
        <v>0</v>
      </c>
      <c r="K628" s="23">
        <f t="shared" si="30"/>
        <v>5116.4999999999991</v>
      </c>
      <c r="L628" s="23">
        <v>16</v>
      </c>
      <c r="M628" s="23">
        <f t="shared" si="31"/>
        <v>5100.4999999999991</v>
      </c>
      <c r="N628" s="22" t="s">
        <v>20</v>
      </c>
      <c r="P628" s="10" t="s">
        <v>29</v>
      </c>
      <c r="Q628" s="11">
        <v>62.25</v>
      </c>
    </row>
    <row r="629" spans="1:17" ht="15.75" customHeight="1" x14ac:dyDescent="0.25">
      <c r="A629" s="468"/>
      <c r="B629" s="22" t="s">
        <v>47</v>
      </c>
      <c r="C629" s="37">
        <v>28.33</v>
      </c>
      <c r="D629" s="37">
        <v>9.68</v>
      </c>
      <c r="E629" s="37">
        <f t="shared" si="28"/>
        <v>18.649999999999999</v>
      </c>
      <c r="F629" s="22" t="s">
        <v>23</v>
      </c>
      <c r="G629" s="22" t="s">
        <v>32</v>
      </c>
      <c r="H629" s="23">
        <v>1350</v>
      </c>
      <c r="I629" s="23">
        <f t="shared" si="29"/>
        <v>25177.499999999996</v>
      </c>
      <c r="J629" s="23">
        <v>2000</v>
      </c>
      <c r="K629" s="23">
        <f t="shared" si="30"/>
        <v>27177.499999999996</v>
      </c>
      <c r="L629" s="23">
        <v>0.5</v>
      </c>
      <c r="M629" s="23">
        <f t="shared" si="31"/>
        <v>27176.999999999996</v>
      </c>
      <c r="N629" s="22" t="s">
        <v>25</v>
      </c>
      <c r="P629" s="10" t="s">
        <v>18</v>
      </c>
      <c r="Q629" s="11">
        <v>8.11</v>
      </c>
    </row>
    <row r="630" spans="1:17" ht="15.75" customHeight="1" x14ac:dyDescent="0.25">
      <c r="A630" s="448"/>
      <c r="B630" s="22" t="s">
        <v>22</v>
      </c>
      <c r="C630" s="37">
        <v>25.89</v>
      </c>
      <c r="D630" s="37">
        <v>9.8699999999999992</v>
      </c>
      <c r="E630" s="37">
        <f t="shared" si="28"/>
        <v>16.020000000000003</v>
      </c>
      <c r="F630" s="22" t="s">
        <v>35</v>
      </c>
      <c r="G630" s="22" t="s">
        <v>32</v>
      </c>
      <c r="H630" s="23">
        <v>1250</v>
      </c>
      <c r="I630" s="23">
        <f t="shared" si="29"/>
        <v>20025.000000000004</v>
      </c>
      <c r="J630" s="23">
        <v>2000</v>
      </c>
      <c r="K630" s="23">
        <f t="shared" si="30"/>
        <v>22025.000000000004</v>
      </c>
      <c r="L630" s="23">
        <v>2</v>
      </c>
      <c r="M630" s="23">
        <f t="shared" si="31"/>
        <v>22023.000000000004</v>
      </c>
      <c r="N630" s="22" t="s">
        <v>25</v>
      </c>
      <c r="P630" s="10" t="s">
        <v>23</v>
      </c>
      <c r="Q630" s="11">
        <v>276.73</v>
      </c>
    </row>
    <row r="631" spans="1:17" ht="15.75" customHeight="1" x14ac:dyDescent="0.25">
      <c r="A631" s="31">
        <v>45841</v>
      </c>
      <c r="B631" s="22" t="s">
        <v>22</v>
      </c>
      <c r="C631" s="37">
        <v>30.17</v>
      </c>
      <c r="D631" s="37">
        <v>9.86</v>
      </c>
      <c r="E631" s="37">
        <f t="shared" si="28"/>
        <v>20.310000000000002</v>
      </c>
      <c r="F631" s="22" t="s">
        <v>23</v>
      </c>
      <c r="G631" s="22" t="s">
        <v>43</v>
      </c>
      <c r="H631" s="23">
        <v>1600</v>
      </c>
      <c r="I631" s="23">
        <f t="shared" si="29"/>
        <v>32496.000000000004</v>
      </c>
      <c r="J631" s="23">
        <v>0</v>
      </c>
      <c r="K631" s="23">
        <f t="shared" si="30"/>
        <v>32496.000000000004</v>
      </c>
      <c r="L631" s="23">
        <v>0</v>
      </c>
      <c r="M631" s="23">
        <f t="shared" si="31"/>
        <v>32496.000000000004</v>
      </c>
      <c r="N631" s="22" t="s">
        <v>44</v>
      </c>
      <c r="P631" s="18" t="s">
        <v>35</v>
      </c>
      <c r="Q631" s="19">
        <v>36.57</v>
      </c>
    </row>
    <row r="632" spans="1:17" ht="15.75" customHeight="1" x14ac:dyDescent="0.25">
      <c r="A632" s="31">
        <v>45849</v>
      </c>
      <c r="B632" s="22" t="s">
        <v>42</v>
      </c>
      <c r="C632" s="37">
        <v>19.690000000000001</v>
      </c>
      <c r="D632" s="37">
        <v>9.61</v>
      </c>
      <c r="E632" s="37">
        <f t="shared" si="28"/>
        <v>10.080000000000002</v>
      </c>
      <c r="F632" s="22" t="s">
        <v>23</v>
      </c>
      <c r="G632" s="22" t="s">
        <v>189</v>
      </c>
      <c r="H632" s="23">
        <v>1350</v>
      </c>
      <c r="I632" s="23">
        <f t="shared" si="29"/>
        <v>13608.000000000002</v>
      </c>
      <c r="J632" s="23">
        <v>3000</v>
      </c>
      <c r="K632" s="23">
        <f t="shared" si="30"/>
        <v>16608</v>
      </c>
      <c r="L632" s="23">
        <v>8</v>
      </c>
      <c r="M632" s="23">
        <f t="shared" si="31"/>
        <v>16600</v>
      </c>
      <c r="N632" s="22" t="s">
        <v>20</v>
      </c>
    </row>
    <row r="633" spans="1:17" ht="15.75" customHeight="1" x14ac:dyDescent="0.25">
      <c r="A633" s="31">
        <v>45850</v>
      </c>
      <c r="B633" s="22" t="s">
        <v>42</v>
      </c>
      <c r="C633" s="37">
        <v>31.01</v>
      </c>
      <c r="D633" s="37">
        <v>9.9600000000000009</v>
      </c>
      <c r="E633" s="37">
        <f t="shared" si="28"/>
        <v>21.05</v>
      </c>
      <c r="F633" s="22" t="s">
        <v>23</v>
      </c>
      <c r="G633" s="22" t="s">
        <v>43</v>
      </c>
      <c r="H633" s="23">
        <v>1600</v>
      </c>
      <c r="I633" s="23">
        <f t="shared" si="29"/>
        <v>33680</v>
      </c>
      <c r="J633" s="23">
        <v>0</v>
      </c>
      <c r="K633" s="23">
        <f t="shared" si="30"/>
        <v>33680</v>
      </c>
      <c r="L633" s="23">
        <v>0</v>
      </c>
      <c r="M633" s="23">
        <f t="shared" si="31"/>
        <v>33680</v>
      </c>
      <c r="N633" s="22" t="s">
        <v>44</v>
      </c>
    </row>
    <row r="634" spans="1:17" ht="15.75" customHeight="1" x14ac:dyDescent="0.25">
      <c r="A634" s="467">
        <v>45851</v>
      </c>
      <c r="B634" s="22" t="s">
        <v>190</v>
      </c>
      <c r="C634" s="37">
        <v>44.25</v>
      </c>
      <c r="D634" s="37">
        <v>15.57</v>
      </c>
      <c r="E634" s="37">
        <f t="shared" si="28"/>
        <v>28.68</v>
      </c>
      <c r="F634" s="22" t="s">
        <v>29</v>
      </c>
      <c r="G634" s="22" t="s">
        <v>191</v>
      </c>
      <c r="H634" s="23">
        <v>350</v>
      </c>
      <c r="I634" s="23">
        <f t="shared" si="29"/>
        <v>10038</v>
      </c>
      <c r="J634" s="23">
        <v>0</v>
      </c>
      <c r="K634" s="23">
        <f t="shared" si="30"/>
        <v>10038</v>
      </c>
      <c r="L634" s="23">
        <v>0</v>
      </c>
      <c r="M634" s="23">
        <f t="shared" si="31"/>
        <v>10038</v>
      </c>
      <c r="N634" s="22" t="s">
        <v>192</v>
      </c>
    </row>
    <row r="635" spans="1:17" ht="15.75" customHeight="1" x14ac:dyDescent="0.25">
      <c r="A635" s="448"/>
      <c r="B635" s="22" t="s">
        <v>193</v>
      </c>
      <c r="C635" s="37">
        <v>20.309999999999999</v>
      </c>
      <c r="D635" s="37">
        <v>10.54</v>
      </c>
      <c r="E635" s="37">
        <f t="shared" si="28"/>
        <v>9.77</v>
      </c>
      <c r="F635" s="22" t="s">
        <v>23</v>
      </c>
      <c r="G635" s="22" t="s">
        <v>194</v>
      </c>
      <c r="H635" s="23">
        <v>1350</v>
      </c>
      <c r="I635" s="23">
        <f t="shared" si="29"/>
        <v>13189.5</v>
      </c>
      <c r="J635" s="23">
        <v>0</v>
      </c>
      <c r="K635" s="23">
        <f t="shared" si="30"/>
        <v>13189.5</v>
      </c>
      <c r="L635" s="23">
        <v>9.5</v>
      </c>
      <c r="M635" s="23">
        <f t="shared" si="31"/>
        <v>13180</v>
      </c>
      <c r="N635" s="22" t="s">
        <v>20</v>
      </c>
    </row>
    <row r="636" spans="1:17" ht="15.75" customHeight="1" x14ac:dyDescent="0.25">
      <c r="A636" s="467">
        <v>45854</v>
      </c>
      <c r="B636" s="22" t="s">
        <v>22</v>
      </c>
      <c r="C636" s="37">
        <v>29.44</v>
      </c>
      <c r="D636" s="37">
        <v>9.94</v>
      </c>
      <c r="E636" s="37">
        <f t="shared" si="28"/>
        <v>19.5</v>
      </c>
      <c r="F636" s="22" t="s">
        <v>23</v>
      </c>
      <c r="G636" s="22" t="s">
        <v>167</v>
      </c>
      <c r="H636" s="23">
        <v>1350</v>
      </c>
      <c r="I636" s="23">
        <f t="shared" si="29"/>
        <v>26325</v>
      </c>
      <c r="J636" s="23">
        <v>2000</v>
      </c>
      <c r="K636" s="23">
        <f t="shared" si="30"/>
        <v>28325</v>
      </c>
      <c r="L636" s="23">
        <v>0</v>
      </c>
      <c r="M636" s="23">
        <f t="shared" si="31"/>
        <v>28325</v>
      </c>
      <c r="N636" s="22" t="s">
        <v>44</v>
      </c>
    </row>
    <row r="637" spans="1:17" ht="15.75" customHeight="1" x14ac:dyDescent="0.25">
      <c r="A637" s="448"/>
      <c r="B637" s="22" t="s">
        <v>195</v>
      </c>
      <c r="C637" s="37">
        <v>33.29</v>
      </c>
      <c r="D637" s="37">
        <v>11.95</v>
      </c>
      <c r="E637" s="37">
        <f t="shared" si="28"/>
        <v>21.34</v>
      </c>
      <c r="F637" s="22" t="s">
        <v>29</v>
      </c>
      <c r="G637" s="22" t="s">
        <v>191</v>
      </c>
      <c r="H637" s="23">
        <v>350</v>
      </c>
      <c r="I637" s="23">
        <f t="shared" si="29"/>
        <v>7469</v>
      </c>
      <c r="J637" s="23">
        <v>2000</v>
      </c>
      <c r="K637" s="23">
        <f t="shared" si="30"/>
        <v>9469</v>
      </c>
      <c r="L637" s="23">
        <v>0</v>
      </c>
      <c r="M637" s="23">
        <f t="shared" si="31"/>
        <v>9469</v>
      </c>
      <c r="N637" s="22" t="s">
        <v>25</v>
      </c>
    </row>
    <row r="638" spans="1:17" ht="15.75" customHeight="1" x14ac:dyDescent="0.25">
      <c r="A638" s="467">
        <v>45856</v>
      </c>
      <c r="B638" s="22" t="s">
        <v>196</v>
      </c>
      <c r="C638" s="37">
        <v>6.84</v>
      </c>
      <c r="D638" s="37">
        <v>3.67</v>
      </c>
      <c r="E638" s="37">
        <f t="shared" si="28"/>
        <v>3.17</v>
      </c>
      <c r="F638" s="22" t="s">
        <v>18</v>
      </c>
      <c r="G638" s="22" t="s">
        <v>197</v>
      </c>
      <c r="H638" s="23">
        <v>1250</v>
      </c>
      <c r="I638" s="23">
        <f t="shared" si="29"/>
        <v>3962.5</v>
      </c>
      <c r="J638" s="23">
        <v>0</v>
      </c>
      <c r="K638" s="23">
        <f t="shared" si="30"/>
        <v>3962.5</v>
      </c>
      <c r="L638" s="23">
        <v>12.5</v>
      </c>
      <c r="M638" s="23">
        <f t="shared" si="31"/>
        <v>3950</v>
      </c>
      <c r="N638" s="22" t="s">
        <v>20</v>
      </c>
    </row>
    <row r="639" spans="1:17" ht="15.75" customHeight="1" x14ac:dyDescent="0.25">
      <c r="A639" s="448"/>
      <c r="B639" s="22" t="s">
        <v>42</v>
      </c>
      <c r="C639" s="37">
        <v>28.26</v>
      </c>
      <c r="D639" s="37">
        <v>9.74</v>
      </c>
      <c r="E639" s="37">
        <f t="shared" si="28"/>
        <v>18.520000000000003</v>
      </c>
      <c r="F639" s="22" t="s">
        <v>38</v>
      </c>
      <c r="G639" s="22" t="s">
        <v>198</v>
      </c>
      <c r="H639" s="23">
        <v>500</v>
      </c>
      <c r="I639" s="23">
        <f t="shared" si="29"/>
        <v>9260.0000000000018</v>
      </c>
      <c r="J639" s="23">
        <v>1000</v>
      </c>
      <c r="K639" s="23">
        <f t="shared" si="30"/>
        <v>10260.000000000002</v>
      </c>
      <c r="L639" s="23">
        <v>260</v>
      </c>
      <c r="M639" s="23">
        <f t="shared" si="31"/>
        <v>10000.000000000002</v>
      </c>
      <c r="N639" s="22" t="s">
        <v>20</v>
      </c>
    </row>
    <row r="640" spans="1:17" ht="15.75" customHeight="1" x14ac:dyDescent="0.25">
      <c r="A640" s="31">
        <v>45857</v>
      </c>
      <c r="B640" s="22" t="s">
        <v>100</v>
      </c>
      <c r="C640" s="37">
        <v>4.4000000000000004</v>
      </c>
      <c r="D640" s="37">
        <v>3.5</v>
      </c>
      <c r="E640" s="37">
        <f t="shared" si="28"/>
        <v>0.90000000000000036</v>
      </c>
      <c r="F640" s="22" t="s">
        <v>23</v>
      </c>
      <c r="G640" s="22" t="s">
        <v>199</v>
      </c>
      <c r="H640" s="23">
        <v>1450</v>
      </c>
      <c r="I640" s="23">
        <f t="shared" si="29"/>
        <v>1305.0000000000005</v>
      </c>
      <c r="J640" s="23">
        <v>0</v>
      </c>
      <c r="K640" s="23">
        <f t="shared" si="30"/>
        <v>1305.0000000000005</v>
      </c>
      <c r="L640" s="23">
        <v>5</v>
      </c>
      <c r="M640" s="23">
        <f t="shared" si="31"/>
        <v>1300.0000000000005</v>
      </c>
      <c r="N640" s="22" t="s">
        <v>20</v>
      </c>
    </row>
    <row r="641" spans="1:14" ht="15.75" customHeight="1" x14ac:dyDescent="0.25">
      <c r="A641" s="467">
        <v>45859</v>
      </c>
      <c r="B641" s="22" t="s">
        <v>181</v>
      </c>
      <c r="C641" s="22">
        <v>6.74</v>
      </c>
      <c r="D641" s="22">
        <v>3.2</v>
      </c>
      <c r="E641" s="22">
        <f t="shared" si="28"/>
        <v>3.54</v>
      </c>
      <c r="F641" s="22" t="s">
        <v>23</v>
      </c>
      <c r="G641" s="22" t="s">
        <v>200</v>
      </c>
      <c r="H641" s="23">
        <v>1450</v>
      </c>
      <c r="I641" s="23">
        <f t="shared" si="29"/>
        <v>5133</v>
      </c>
      <c r="J641" s="23">
        <v>0</v>
      </c>
      <c r="K641" s="23">
        <f t="shared" si="30"/>
        <v>5133</v>
      </c>
      <c r="L641" s="23">
        <v>33</v>
      </c>
      <c r="M641" s="23">
        <f t="shared" si="31"/>
        <v>5100</v>
      </c>
      <c r="N641" s="22" t="s">
        <v>20</v>
      </c>
    </row>
    <row r="642" spans="1:14" ht="15.75" customHeight="1" x14ac:dyDescent="0.25">
      <c r="A642" s="468"/>
      <c r="B642" s="22" t="s">
        <v>47</v>
      </c>
      <c r="C642" s="22">
        <v>29.13</v>
      </c>
      <c r="D642" s="22">
        <v>10.6</v>
      </c>
      <c r="E642" s="22">
        <f t="shared" si="28"/>
        <v>18.53</v>
      </c>
      <c r="F642" s="22" t="s">
        <v>23</v>
      </c>
      <c r="G642" s="22" t="s">
        <v>201</v>
      </c>
      <c r="H642" s="23">
        <v>1350</v>
      </c>
      <c r="I642" s="23">
        <f t="shared" si="29"/>
        <v>25015.5</v>
      </c>
      <c r="J642" s="23">
        <v>1000</v>
      </c>
      <c r="K642" s="23">
        <f t="shared" si="30"/>
        <v>26015.5</v>
      </c>
      <c r="L642" s="23">
        <v>0</v>
      </c>
      <c r="M642" s="23">
        <f t="shared" si="31"/>
        <v>26015.5</v>
      </c>
      <c r="N642" s="22" t="s">
        <v>44</v>
      </c>
    </row>
    <row r="643" spans="1:14" ht="15.75" customHeight="1" x14ac:dyDescent="0.25">
      <c r="A643" s="468"/>
      <c r="B643" s="22" t="s">
        <v>181</v>
      </c>
      <c r="C643" s="22">
        <v>8.74</v>
      </c>
      <c r="D643" s="22">
        <v>3.55</v>
      </c>
      <c r="E643" s="22">
        <f t="shared" si="28"/>
        <v>5.19</v>
      </c>
      <c r="F643" s="22" t="s">
        <v>38</v>
      </c>
      <c r="G643" s="22" t="s">
        <v>202</v>
      </c>
      <c r="H643" s="23">
        <v>500</v>
      </c>
      <c r="I643" s="23">
        <f t="shared" si="29"/>
        <v>2595</v>
      </c>
      <c r="J643" s="23">
        <v>0</v>
      </c>
      <c r="K643" s="23">
        <f t="shared" si="30"/>
        <v>2595</v>
      </c>
      <c r="L643" s="23">
        <v>0</v>
      </c>
      <c r="M643" s="23">
        <f t="shared" si="31"/>
        <v>2595</v>
      </c>
      <c r="N643" s="22" t="s">
        <v>25</v>
      </c>
    </row>
    <row r="644" spans="1:14" ht="15.75" customHeight="1" x14ac:dyDescent="0.25">
      <c r="A644" s="468"/>
      <c r="B644" s="22" t="s">
        <v>47</v>
      </c>
      <c r="C644" s="22">
        <v>30.52</v>
      </c>
      <c r="D644" s="22">
        <v>10.84</v>
      </c>
      <c r="E644" s="22">
        <f t="shared" si="28"/>
        <v>19.68</v>
      </c>
      <c r="F644" s="22" t="s">
        <v>23</v>
      </c>
      <c r="G644" s="22" t="s">
        <v>201</v>
      </c>
      <c r="H644" s="23">
        <v>1350</v>
      </c>
      <c r="I644" s="23">
        <f t="shared" si="29"/>
        <v>26568</v>
      </c>
      <c r="J644" s="23">
        <v>1000</v>
      </c>
      <c r="K644" s="23">
        <f t="shared" si="30"/>
        <v>27568</v>
      </c>
      <c r="L644" s="23">
        <v>0</v>
      </c>
      <c r="M644" s="23">
        <f t="shared" si="31"/>
        <v>27568</v>
      </c>
      <c r="N644" s="22" t="s">
        <v>44</v>
      </c>
    </row>
    <row r="645" spans="1:14" ht="15.75" customHeight="1" x14ac:dyDescent="0.25">
      <c r="A645" s="468"/>
      <c r="B645" s="22" t="s">
        <v>47</v>
      </c>
      <c r="C645" s="22">
        <v>31.57</v>
      </c>
      <c r="D645" s="22">
        <v>10.44</v>
      </c>
      <c r="E645" s="22">
        <f t="shared" si="28"/>
        <v>21.130000000000003</v>
      </c>
      <c r="F645" s="22" t="s">
        <v>23</v>
      </c>
      <c r="G645" s="22" t="s">
        <v>201</v>
      </c>
      <c r="H645" s="23">
        <v>1350</v>
      </c>
      <c r="I645" s="23">
        <f t="shared" si="29"/>
        <v>28525.500000000004</v>
      </c>
      <c r="J645" s="23">
        <v>1000</v>
      </c>
      <c r="K645" s="23">
        <f t="shared" si="30"/>
        <v>29525.500000000004</v>
      </c>
      <c r="L645" s="23">
        <v>0</v>
      </c>
      <c r="M645" s="23">
        <f t="shared" si="31"/>
        <v>29525.500000000004</v>
      </c>
      <c r="N645" s="22" t="s">
        <v>44</v>
      </c>
    </row>
    <row r="646" spans="1:14" ht="15.75" customHeight="1" x14ac:dyDescent="0.25">
      <c r="A646" s="448"/>
      <c r="B646" s="22" t="s">
        <v>203</v>
      </c>
      <c r="C646" s="22">
        <v>36.03</v>
      </c>
      <c r="D646" s="22">
        <v>11.21</v>
      </c>
      <c r="E646" s="22">
        <f t="shared" si="28"/>
        <v>24.82</v>
      </c>
      <c r="F646" s="22" t="s">
        <v>38</v>
      </c>
      <c r="G646" s="22" t="s">
        <v>191</v>
      </c>
      <c r="H646" s="23">
        <v>300</v>
      </c>
      <c r="I646" s="23">
        <f t="shared" si="29"/>
        <v>7446</v>
      </c>
      <c r="J646" s="23">
        <v>0</v>
      </c>
      <c r="K646" s="23">
        <f t="shared" si="30"/>
        <v>7446</v>
      </c>
      <c r="L646" s="23">
        <v>0</v>
      </c>
      <c r="M646" s="23">
        <f t="shared" si="31"/>
        <v>7446</v>
      </c>
      <c r="N646" s="22" t="s">
        <v>44</v>
      </c>
    </row>
    <row r="647" spans="1:14" ht="15.75" customHeight="1" x14ac:dyDescent="0.25">
      <c r="A647" s="31">
        <v>45860</v>
      </c>
      <c r="B647" s="22" t="s">
        <v>181</v>
      </c>
      <c r="C647" s="22">
        <v>8.16</v>
      </c>
      <c r="D647" s="22">
        <v>3.22</v>
      </c>
      <c r="E647" s="22">
        <f t="shared" si="28"/>
        <v>4.9399999999999995</v>
      </c>
      <c r="F647" s="22" t="s">
        <v>18</v>
      </c>
      <c r="G647" s="22" t="s">
        <v>202</v>
      </c>
      <c r="H647" s="23">
        <v>1200</v>
      </c>
      <c r="I647" s="23">
        <f t="shared" si="29"/>
        <v>5927.9999999999991</v>
      </c>
      <c r="J647" s="23">
        <v>0</v>
      </c>
      <c r="K647" s="23">
        <f t="shared" si="30"/>
        <v>5927.9999999999991</v>
      </c>
      <c r="L647" s="23">
        <v>28</v>
      </c>
      <c r="M647" s="23">
        <f t="shared" si="31"/>
        <v>5899.9999999999991</v>
      </c>
      <c r="N647" s="22" t="s">
        <v>25</v>
      </c>
    </row>
    <row r="648" spans="1:14" ht="15.75" customHeight="1" x14ac:dyDescent="0.25">
      <c r="A648" s="467">
        <v>45862</v>
      </c>
      <c r="B648" s="22" t="s">
        <v>22</v>
      </c>
      <c r="C648" s="22">
        <v>25.9</v>
      </c>
      <c r="D648" s="22">
        <v>9.2200000000000006</v>
      </c>
      <c r="E648" s="22">
        <f t="shared" si="28"/>
        <v>16.68</v>
      </c>
      <c r="F648" s="22" t="s">
        <v>35</v>
      </c>
      <c r="G648" s="22" t="s">
        <v>32</v>
      </c>
      <c r="H648" s="23">
        <v>1250</v>
      </c>
      <c r="I648" s="23">
        <f t="shared" si="29"/>
        <v>20850</v>
      </c>
      <c r="J648" s="23">
        <v>2000</v>
      </c>
      <c r="K648" s="23">
        <f t="shared" si="30"/>
        <v>22850</v>
      </c>
      <c r="L648" s="23">
        <v>0</v>
      </c>
      <c r="M648" s="23">
        <f t="shared" si="31"/>
        <v>22850</v>
      </c>
      <c r="N648" s="22" t="s">
        <v>25</v>
      </c>
    </row>
    <row r="649" spans="1:14" ht="15.75" customHeight="1" x14ac:dyDescent="0.25">
      <c r="A649" s="448"/>
      <c r="B649" s="22" t="s">
        <v>22</v>
      </c>
      <c r="C649" s="22">
        <v>25.75</v>
      </c>
      <c r="D649" s="22">
        <v>9.8000000000000007</v>
      </c>
      <c r="E649" s="22">
        <f t="shared" si="28"/>
        <v>15.95</v>
      </c>
      <c r="F649" s="22" t="s">
        <v>23</v>
      </c>
      <c r="G649" s="22" t="s">
        <v>32</v>
      </c>
      <c r="H649" s="23">
        <v>1450</v>
      </c>
      <c r="I649" s="23">
        <f t="shared" si="29"/>
        <v>23127.5</v>
      </c>
      <c r="J649" s="23">
        <v>2000</v>
      </c>
      <c r="K649" s="23">
        <f t="shared" si="30"/>
        <v>25127.5</v>
      </c>
      <c r="L649" s="23">
        <v>27.5</v>
      </c>
      <c r="M649" s="23">
        <f t="shared" si="31"/>
        <v>25100</v>
      </c>
      <c r="N649" s="22" t="s">
        <v>25</v>
      </c>
    </row>
    <row r="650" spans="1:14" ht="15.75" customHeight="1" x14ac:dyDescent="0.25">
      <c r="A650" s="467">
        <v>45863</v>
      </c>
      <c r="B650" s="22" t="s">
        <v>22</v>
      </c>
      <c r="C650" s="22">
        <v>21.33</v>
      </c>
      <c r="D650" s="22">
        <v>9.91</v>
      </c>
      <c r="E650" s="22">
        <f t="shared" si="28"/>
        <v>11.419999999999998</v>
      </c>
      <c r="F650" s="22" t="s">
        <v>23</v>
      </c>
      <c r="G650" s="22" t="s">
        <v>204</v>
      </c>
      <c r="H650" s="23">
        <v>1400</v>
      </c>
      <c r="I650" s="23">
        <f t="shared" si="29"/>
        <v>15987.999999999998</v>
      </c>
      <c r="J650" s="23">
        <v>1000</v>
      </c>
      <c r="K650" s="23">
        <f t="shared" si="30"/>
        <v>16988</v>
      </c>
      <c r="L650" s="23">
        <v>0</v>
      </c>
      <c r="M650" s="23">
        <f t="shared" si="31"/>
        <v>16988</v>
      </c>
      <c r="N650" s="22" t="s">
        <v>25</v>
      </c>
    </row>
    <row r="651" spans="1:14" ht="15.75" customHeight="1" x14ac:dyDescent="0.25">
      <c r="A651" s="448"/>
      <c r="B651" s="22" t="s">
        <v>22</v>
      </c>
      <c r="C651" s="22">
        <v>21.53</v>
      </c>
      <c r="D651" s="22">
        <v>9.3000000000000007</v>
      </c>
      <c r="E651" s="22">
        <f t="shared" si="28"/>
        <v>12.23</v>
      </c>
      <c r="F651" s="22" t="s">
        <v>29</v>
      </c>
      <c r="G651" s="22" t="s">
        <v>204</v>
      </c>
      <c r="H651" s="23">
        <v>600</v>
      </c>
      <c r="I651" s="23">
        <f t="shared" si="29"/>
        <v>7338</v>
      </c>
      <c r="J651" s="23">
        <v>1000</v>
      </c>
      <c r="K651" s="23">
        <f t="shared" si="30"/>
        <v>8338</v>
      </c>
      <c r="L651" s="23">
        <v>0</v>
      </c>
      <c r="M651" s="23">
        <f t="shared" si="31"/>
        <v>8338</v>
      </c>
      <c r="N651" s="22" t="s">
        <v>25</v>
      </c>
    </row>
    <row r="652" spans="1:14" ht="15.75" customHeight="1" x14ac:dyDescent="0.25">
      <c r="A652" s="31">
        <v>45864</v>
      </c>
      <c r="B652" s="22" t="s">
        <v>22</v>
      </c>
      <c r="C652" s="22">
        <v>27.98</v>
      </c>
      <c r="D652" s="22">
        <v>9.4499999999999993</v>
      </c>
      <c r="E652" s="22">
        <f t="shared" si="28"/>
        <v>18.53</v>
      </c>
      <c r="F652" s="22" t="s">
        <v>26</v>
      </c>
      <c r="G652" s="22" t="s">
        <v>205</v>
      </c>
      <c r="H652" s="23">
        <v>1100</v>
      </c>
      <c r="I652" s="23">
        <f t="shared" si="29"/>
        <v>20383</v>
      </c>
      <c r="J652" s="23">
        <v>2000</v>
      </c>
      <c r="K652" s="23">
        <f t="shared" si="30"/>
        <v>22383</v>
      </c>
      <c r="L652" s="23">
        <v>0</v>
      </c>
      <c r="M652" s="23">
        <f t="shared" si="31"/>
        <v>22383</v>
      </c>
      <c r="N652" s="22" t="s">
        <v>44</v>
      </c>
    </row>
    <row r="653" spans="1:14" ht="15.75" customHeight="1" x14ac:dyDescent="0.25">
      <c r="A653" s="31">
        <v>45865</v>
      </c>
      <c r="B653" s="22" t="s">
        <v>47</v>
      </c>
      <c r="C653" s="22">
        <v>22.8</v>
      </c>
      <c r="D653" s="22">
        <v>9.0500000000000007</v>
      </c>
      <c r="E653" s="22">
        <f t="shared" si="28"/>
        <v>13.75</v>
      </c>
      <c r="F653" s="22" t="s">
        <v>23</v>
      </c>
      <c r="G653" s="22" t="s">
        <v>201</v>
      </c>
      <c r="H653" s="23">
        <v>1350</v>
      </c>
      <c r="I653" s="23">
        <f t="shared" si="29"/>
        <v>18562.5</v>
      </c>
      <c r="J653" s="23">
        <v>1000</v>
      </c>
      <c r="K653" s="23">
        <f t="shared" si="30"/>
        <v>19562.5</v>
      </c>
      <c r="L653" s="23">
        <v>0</v>
      </c>
      <c r="M653" s="23">
        <f t="shared" si="31"/>
        <v>19562.5</v>
      </c>
      <c r="N653" s="22" t="s">
        <v>44</v>
      </c>
    </row>
    <row r="654" spans="1:14" ht="15.75" customHeight="1" x14ac:dyDescent="0.25">
      <c r="A654" s="467">
        <v>45866</v>
      </c>
      <c r="B654" s="22" t="s">
        <v>206</v>
      </c>
      <c r="C654" s="22">
        <v>3.94</v>
      </c>
      <c r="D654" s="22">
        <v>3.11</v>
      </c>
      <c r="E654" s="22">
        <f t="shared" si="28"/>
        <v>0.83000000000000007</v>
      </c>
      <c r="F654" s="22" t="s">
        <v>23</v>
      </c>
      <c r="G654" s="22" t="s">
        <v>199</v>
      </c>
      <c r="H654" s="23">
        <v>1450</v>
      </c>
      <c r="I654" s="23">
        <f t="shared" si="29"/>
        <v>1203.5</v>
      </c>
      <c r="J654" s="23">
        <v>0</v>
      </c>
      <c r="K654" s="23">
        <f t="shared" si="30"/>
        <v>1203.5</v>
      </c>
      <c r="L654" s="23">
        <v>3.5</v>
      </c>
      <c r="M654" s="23">
        <f t="shared" si="31"/>
        <v>1200</v>
      </c>
      <c r="N654" s="22" t="s">
        <v>20</v>
      </c>
    </row>
    <row r="655" spans="1:14" ht="15.75" customHeight="1" x14ac:dyDescent="0.25">
      <c r="A655" s="448"/>
      <c r="B655" s="22" t="s">
        <v>22</v>
      </c>
      <c r="C655" s="22">
        <v>30.2</v>
      </c>
      <c r="D655" s="22">
        <v>9.6300000000000008</v>
      </c>
      <c r="E655" s="22">
        <f t="shared" si="28"/>
        <v>20.57</v>
      </c>
      <c r="F655" s="22" t="s">
        <v>23</v>
      </c>
      <c r="G655" s="22" t="s">
        <v>205</v>
      </c>
      <c r="H655" s="23">
        <v>1300</v>
      </c>
      <c r="I655" s="23">
        <f t="shared" si="29"/>
        <v>26741</v>
      </c>
      <c r="J655" s="23">
        <v>2000</v>
      </c>
      <c r="K655" s="23">
        <f t="shared" si="30"/>
        <v>28741</v>
      </c>
      <c r="L655" s="23">
        <v>0</v>
      </c>
      <c r="M655" s="23">
        <f t="shared" si="31"/>
        <v>28741</v>
      </c>
      <c r="N655" s="22" t="s">
        <v>44</v>
      </c>
    </row>
    <row r="656" spans="1:14" ht="15.75" customHeight="1" x14ac:dyDescent="0.25">
      <c r="A656" s="31">
        <v>45868</v>
      </c>
      <c r="B656" s="22" t="s">
        <v>207</v>
      </c>
      <c r="C656" s="22">
        <v>6.71</v>
      </c>
      <c r="D656" s="22">
        <v>2.84</v>
      </c>
      <c r="E656" s="22">
        <f t="shared" si="28"/>
        <v>3.87</v>
      </c>
      <c r="F656" s="22" t="s">
        <v>35</v>
      </c>
      <c r="G656" s="22" t="s">
        <v>180</v>
      </c>
      <c r="H656" s="23">
        <v>1250</v>
      </c>
      <c r="I656" s="23">
        <f t="shared" si="29"/>
        <v>4837.5</v>
      </c>
      <c r="J656" s="23">
        <v>0</v>
      </c>
      <c r="K656" s="23">
        <f t="shared" si="30"/>
        <v>4837.5</v>
      </c>
      <c r="L656" s="23">
        <v>0</v>
      </c>
      <c r="M656" s="23">
        <f t="shared" si="31"/>
        <v>4837.5</v>
      </c>
      <c r="N656" s="22" t="s">
        <v>25</v>
      </c>
    </row>
    <row r="657" spans="1:17" ht="15.75" customHeight="1" x14ac:dyDescent="0.25">
      <c r="A657" s="467">
        <v>45869</v>
      </c>
      <c r="B657" s="22" t="s">
        <v>47</v>
      </c>
      <c r="C657" s="22">
        <v>29.57</v>
      </c>
      <c r="D657" s="22">
        <v>9.1300000000000008</v>
      </c>
      <c r="E657" s="22">
        <f t="shared" si="28"/>
        <v>20.439999999999998</v>
      </c>
      <c r="F657" s="22" t="s">
        <v>23</v>
      </c>
      <c r="G657" s="22" t="s">
        <v>201</v>
      </c>
      <c r="H657" s="23">
        <v>1350</v>
      </c>
      <c r="I657" s="23">
        <f t="shared" si="29"/>
        <v>27593.999999999996</v>
      </c>
      <c r="J657" s="23">
        <v>1000</v>
      </c>
      <c r="K657" s="23">
        <f t="shared" si="30"/>
        <v>28593.999999999996</v>
      </c>
      <c r="L657" s="23">
        <v>0</v>
      </c>
      <c r="M657" s="23">
        <f t="shared" si="31"/>
        <v>28593.999999999996</v>
      </c>
      <c r="N657" s="22" t="s">
        <v>44</v>
      </c>
    </row>
    <row r="658" spans="1:17" ht="15.75" customHeight="1" thickBot="1" x14ac:dyDescent="0.3">
      <c r="A658" s="468"/>
      <c r="B658" s="33" t="s">
        <v>47</v>
      </c>
      <c r="C658" s="33">
        <v>27.84</v>
      </c>
      <c r="D658" s="33">
        <v>9.5</v>
      </c>
      <c r="E658" s="33">
        <f t="shared" si="28"/>
        <v>18.34</v>
      </c>
      <c r="F658" s="33" t="s">
        <v>23</v>
      </c>
      <c r="G658" s="33" t="s">
        <v>201</v>
      </c>
      <c r="H658" s="34">
        <v>1350</v>
      </c>
      <c r="I658" s="34">
        <f t="shared" si="29"/>
        <v>24759</v>
      </c>
      <c r="J658" s="34">
        <v>1000</v>
      </c>
      <c r="K658" s="34">
        <f t="shared" si="30"/>
        <v>25759</v>
      </c>
      <c r="L658" s="34">
        <v>0</v>
      </c>
      <c r="M658" s="34">
        <f t="shared" si="31"/>
        <v>25759</v>
      </c>
      <c r="N658" s="33" t="s">
        <v>44</v>
      </c>
    </row>
    <row r="659" spans="1:17" ht="15.75" customHeight="1" thickBot="1" x14ac:dyDescent="0.3">
      <c r="A659" s="469" t="s">
        <v>83</v>
      </c>
      <c r="B659" s="470"/>
      <c r="C659" s="217">
        <f t="shared" ref="C659:E659" si="32">SUM(C626:C658)</f>
        <v>717.95000000000016</v>
      </c>
      <c r="D659" s="217">
        <f t="shared" si="32"/>
        <v>267.23000000000008</v>
      </c>
      <c r="E659" s="217">
        <f t="shared" si="32"/>
        <v>450.72</v>
      </c>
      <c r="F659" s="218"/>
      <c r="G659" s="218"/>
      <c r="H659" s="219">
        <f t="shared" ref="H659:M659" si="33">SUM(H626:H658)</f>
        <v>39150</v>
      </c>
      <c r="I659" s="219">
        <f t="shared" si="33"/>
        <v>505722</v>
      </c>
      <c r="J659" s="219">
        <f t="shared" si="33"/>
        <v>28000</v>
      </c>
      <c r="K659" s="219">
        <f t="shared" si="33"/>
        <v>533722</v>
      </c>
      <c r="L659" s="219">
        <f t="shared" si="33"/>
        <v>430.5</v>
      </c>
      <c r="M659" s="219">
        <f t="shared" si="33"/>
        <v>533291.5</v>
      </c>
      <c r="N659" s="220"/>
    </row>
    <row r="660" spans="1:17" ht="15.75" customHeight="1" thickBot="1" x14ac:dyDescent="0.3"/>
    <row r="661" spans="1:17" ht="33" thickBot="1" x14ac:dyDescent="0.3">
      <c r="A661" s="463" t="s">
        <v>601</v>
      </c>
      <c r="B661" s="464"/>
      <c r="C661" s="464"/>
      <c r="D661" s="464"/>
      <c r="E661" s="464"/>
      <c r="F661" s="464"/>
      <c r="G661" s="464"/>
      <c r="H661" s="464"/>
      <c r="I661" s="464"/>
      <c r="J661" s="464"/>
      <c r="K661" s="464"/>
      <c r="L661" s="464"/>
      <c r="M661" s="464"/>
      <c r="N661" s="465"/>
    </row>
    <row r="662" spans="1:17" ht="15.75" customHeight="1" thickBot="1" x14ac:dyDescent="0.3">
      <c r="A662" s="47" t="s">
        <v>1</v>
      </c>
      <c r="B662" s="48" t="s">
        <v>2</v>
      </c>
      <c r="C662" s="49" t="s">
        <v>3</v>
      </c>
      <c r="D662" s="49" t="s">
        <v>4</v>
      </c>
      <c r="E662" s="49" t="s">
        <v>5</v>
      </c>
      <c r="F662" s="48" t="s">
        <v>6</v>
      </c>
      <c r="G662" s="48" t="s">
        <v>7</v>
      </c>
      <c r="H662" s="50" t="s">
        <v>8</v>
      </c>
      <c r="I662" s="48" t="s">
        <v>9</v>
      </c>
      <c r="J662" s="50" t="s">
        <v>10</v>
      </c>
      <c r="K662" s="48" t="s">
        <v>11</v>
      </c>
      <c r="L662" s="50" t="s">
        <v>12</v>
      </c>
      <c r="M662" s="48" t="s">
        <v>13</v>
      </c>
      <c r="N662" s="51" t="s">
        <v>14</v>
      </c>
      <c r="P662" s="221" t="s">
        <v>649</v>
      </c>
      <c r="Q662" s="222" t="s">
        <v>650</v>
      </c>
    </row>
    <row r="663" spans="1:17" ht="15.75" customHeight="1" x14ac:dyDescent="0.25">
      <c r="A663" s="183">
        <v>45870</v>
      </c>
      <c r="B663" s="211" t="s">
        <v>602</v>
      </c>
      <c r="C663" s="184">
        <v>4.87</v>
      </c>
      <c r="D663" s="184">
        <v>2</v>
      </c>
      <c r="E663" s="184">
        <v>2.87</v>
      </c>
      <c r="F663" s="212" t="s">
        <v>619</v>
      </c>
      <c r="G663" s="212" t="s">
        <v>624</v>
      </c>
      <c r="H663" s="139">
        <v>1400</v>
      </c>
      <c r="I663" s="139">
        <v>4018</v>
      </c>
      <c r="J663" s="139">
        <v>0</v>
      </c>
      <c r="K663" s="139">
        <v>4018</v>
      </c>
      <c r="L663" s="139">
        <v>18</v>
      </c>
      <c r="M663" s="139">
        <v>4000</v>
      </c>
      <c r="N663" s="213" t="s">
        <v>646</v>
      </c>
      <c r="P663" s="223" t="s">
        <v>651</v>
      </c>
      <c r="Q663" s="224">
        <v>211.48</v>
      </c>
    </row>
    <row r="664" spans="1:17" x14ac:dyDescent="0.25">
      <c r="A664" s="183">
        <v>45870</v>
      </c>
      <c r="B664" s="211" t="s">
        <v>603</v>
      </c>
      <c r="C664" s="184">
        <v>29.91</v>
      </c>
      <c r="D664" s="184">
        <v>9.64</v>
      </c>
      <c r="E664" s="184">
        <v>20.27</v>
      </c>
      <c r="F664" s="212" t="s">
        <v>619</v>
      </c>
      <c r="G664" s="212" t="s">
        <v>625</v>
      </c>
      <c r="H664" s="139">
        <v>1350</v>
      </c>
      <c r="I664" s="139">
        <v>27364.5</v>
      </c>
      <c r="J664" s="139">
        <v>0</v>
      </c>
      <c r="K664" s="139">
        <v>27364.5</v>
      </c>
      <c r="L664" s="139">
        <v>0</v>
      </c>
      <c r="M664" s="139">
        <v>27364.5</v>
      </c>
      <c r="N664" s="213" t="s">
        <v>647</v>
      </c>
      <c r="P664" s="225" t="s">
        <v>652</v>
      </c>
      <c r="Q664" s="226">
        <v>282.45</v>
      </c>
    </row>
    <row r="665" spans="1:17" ht="15.75" customHeight="1" x14ac:dyDescent="0.25">
      <c r="A665" s="183">
        <v>45870</v>
      </c>
      <c r="B665" s="212" t="s">
        <v>603</v>
      </c>
      <c r="C665" s="184">
        <v>30.64</v>
      </c>
      <c r="D665" s="184">
        <v>9.4499999999999993</v>
      </c>
      <c r="E665" s="184">
        <v>21.19</v>
      </c>
      <c r="F665" s="212" t="s">
        <v>619</v>
      </c>
      <c r="G665" s="212" t="s">
        <v>625</v>
      </c>
      <c r="H665" s="139">
        <v>1350</v>
      </c>
      <c r="I665" s="139">
        <v>28606.5</v>
      </c>
      <c r="J665" s="139">
        <v>0</v>
      </c>
      <c r="K665" s="139">
        <v>28606.5</v>
      </c>
      <c r="L665" s="139">
        <v>0</v>
      </c>
      <c r="M665" s="139">
        <v>28606.5</v>
      </c>
      <c r="N665" s="213" t="s">
        <v>647</v>
      </c>
      <c r="P665" s="225" t="s">
        <v>653</v>
      </c>
      <c r="Q665" s="226">
        <v>0</v>
      </c>
    </row>
    <row r="666" spans="1:17" ht="15.75" customHeight="1" x14ac:dyDescent="0.25">
      <c r="A666" s="183">
        <v>45872</v>
      </c>
      <c r="B666" s="212" t="s">
        <v>603</v>
      </c>
      <c r="C666" s="184">
        <v>32.04</v>
      </c>
      <c r="D666" s="184">
        <v>9.9700000000000006</v>
      </c>
      <c r="E666" s="184">
        <v>22.07</v>
      </c>
      <c r="F666" s="212" t="s">
        <v>619</v>
      </c>
      <c r="G666" s="212" t="s">
        <v>625</v>
      </c>
      <c r="H666" s="139">
        <v>1350</v>
      </c>
      <c r="I666" s="139">
        <v>29794.5</v>
      </c>
      <c r="J666" s="139">
        <v>0</v>
      </c>
      <c r="K666" s="139">
        <v>29794.5</v>
      </c>
      <c r="L666" s="139">
        <v>0</v>
      </c>
      <c r="M666" s="139">
        <v>29794.5</v>
      </c>
      <c r="N666" s="213" t="s">
        <v>647</v>
      </c>
      <c r="P666" s="225" t="s">
        <v>654</v>
      </c>
      <c r="Q666" s="226">
        <v>9.07</v>
      </c>
    </row>
    <row r="667" spans="1:17" ht="15.75" customHeight="1" x14ac:dyDescent="0.25">
      <c r="A667" s="183">
        <v>45872</v>
      </c>
      <c r="B667" s="212" t="s">
        <v>604</v>
      </c>
      <c r="C667" s="184">
        <v>15.55</v>
      </c>
      <c r="D667" s="184">
        <v>9.44</v>
      </c>
      <c r="E667" s="184">
        <v>6.11</v>
      </c>
      <c r="F667" s="212" t="s">
        <v>619</v>
      </c>
      <c r="G667" s="212" t="s">
        <v>626</v>
      </c>
      <c r="H667" s="139">
        <v>1400</v>
      </c>
      <c r="I667" s="139">
        <v>8554</v>
      </c>
      <c r="J667" s="139">
        <v>0</v>
      </c>
      <c r="K667" s="139">
        <v>8554</v>
      </c>
      <c r="L667" s="139">
        <v>54</v>
      </c>
      <c r="M667" s="139">
        <v>8500</v>
      </c>
      <c r="N667" s="213" t="s">
        <v>648</v>
      </c>
      <c r="P667" s="225" t="s">
        <v>655</v>
      </c>
      <c r="Q667" s="226">
        <v>408.33</v>
      </c>
    </row>
    <row r="668" spans="1:17" ht="15.75" customHeight="1" thickBot="1" x14ac:dyDescent="0.3">
      <c r="A668" s="183">
        <v>45872</v>
      </c>
      <c r="B668" s="212" t="s">
        <v>603</v>
      </c>
      <c r="C668" s="184">
        <v>31.67</v>
      </c>
      <c r="D668" s="184">
        <v>9.6999999999999993</v>
      </c>
      <c r="E668" s="184">
        <v>21.97</v>
      </c>
      <c r="F668" s="212" t="s">
        <v>619</v>
      </c>
      <c r="G668" s="212" t="s">
        <v>625</v>
      </c>
      <c r="H668" s="139">
        <v>1350</v>
      </c>
      <c r="I668" s="139">
        <v>29659.5</v>
      </c>
      <c r="J668" s="139">
        <v>0</v>
      </c>
      <c r="K668" s="139">
        <v>29659.5</v>
      </c>
      <c r="L668" s="139">
        <v>0</v>
      </c>
      <c r="M668" s="139">
        <v>29659.5</v>
      </c>
      <c r="N668" s="213" t="s">
        <v>647</v>
      </c>
      <c r="P668" s="227" t="s">
        <v>656</v>
      </c>
      <c r="Q668" s="228">
        <v>232.15</v>
      </c>
    </row>
    <row r="669" spans="1:17" ht="15.75" customHeight="1" x14ac:dyDescent="0.25">
      <c r="A669" s="183">
        <v>45872</v>
      </c>
      <c r="B669" s="212" t="s">
        <v>604</v>
      </c>
      <c r="C669" s="184">
        <v>29.78</v>
      </c>
      <c r="D669" s="184">
        <v>9.6999999999999993</v>
      </c>
      <c r="E669" s="184">
        <v>20.079999999999998</v>
      </c>
      <c r="F669" s="212" t="s">
        <v>619</v>
      </c>
      <c r="G669" s="212" t="s">
        <v>625</v>
      </c>
      <c r="H669" s="139">
        <v>1350</v>
      </c>
      <c r="I669" s="139">
        <v>27108</v>
      </c>
      <c r="J669" s="139">
        <v>0</v>
      </c>
      <c r="K669" s="139">
        <v>27108</v>
      </c>
      <c r="L669" s="139">
        <v>0</v>
      </c>
      <c r="M669" s="139">
        <v>27108</v>
      </c>
      <c r="N669" s="213" t="s">
        <v>647</v>
      </c>
    </row>
    <row r="670" spans="1:17" ht="15.75" customHeight="1" x14ac:dyDescent="0.25">
      <c r="A670" s="183">
        <v>45872</v>
      </c>
      <c r="B670" s="212" t="s">
        <v>604</v>
      </c>
      <c r="C670" s="184">
        <v>33.49</v>
      </c>
      <c r="D670" s="184">
        <v>9.9700000000000006</v>
      </c>
      <c r="E670" s="184">
        <v>23.52</v>
      </c>
      <c r="F670" s="212" t="s">
        <v>619</v>
      </c>
      <c r="G670" s="212" t="s">
        <v>625</v>
      </c>
      <c r="H670" s="139">
        <v>1350</v>
      </c>
      <c r="I670" s="139">
        <v>31752</v>
      </c>
      <c r="J670" s="139">
        <v>0</v>
      </c>
      <c r="K670" s="139">
        <v>31752</v>
      </c>
      <c r="L670" s="139">
        <v>0</v>
      </c>
      <c r="M670" s="139">
        <v>31752</v>
      </c>
      <c r="N670" s="213" t="s">
        <v>647</v>
      </c>
    </row>
    <row r="671" spans="1:17" ht="15.75" customHeight="1" x14ac:dyDescent="0.25">
      <c r="A671" s="183">
        <v>45872</v>
      </c>
      <c r="B671" s="212" t="s">
        <v>604</v>
      </c>
      <c r="C671" s="184">
        <v>30.66</v>
      </c>
      <c r="D671" s="184">
        <v>8.9</v>
      </c>
      <c r="E671" s="184">
        <v>21.76</v>
      </c>
      <c r="F671" s="212" t="s">
        <v>620</v>
      </c>
      <c r="G671" s="212" t="s">
        <v>625</v>
      </c>
      <c r="H671" s="139">
        <v>1150</v>
      </c>
      <c r="I671" s="139">
        <v>25024</v>
      </c>
      <c r="J671" s="139">
        <v>0</v>
      </c>
      <c r="K671" s="139">
        <v>25024</v>
      </c>
      <c r="L671" s="139">
        <v>0</v>
      </c>
      <c r="M671" s="139">
        <v>25024</v>
      </c>
      <c r="N671" s="213" t="s">
        <v>647</v>
      </c>
    </row>
    <row r="672" spans="1:17" ht="15.75" customHeight="1" x14ac:dyDescent="0.25">
      <c r="A672" s="183">
        <v>45873</v>
      </c>
      <c r="B672" s="212" t="s">
        <v>602</v>
      </c>
      <c r="C672" s="184">
        <v>5.14</v>
      </c>
      <c r="D672" s="184">
        <v>2.36</v>
      </c>
      <c r="E672" s="184">
        <v>2.78</v>
      </c>
      <c r="F672" s="212" t="s">
        <v>619</v>
      </c>
      <c r="G672" s="212" t="s">
        <v>624</v>
      </c>
      <c r="H672" s="139">
        <v>1400</v>
      </c>
      <c r="I672" s="139">
        <v>3892</v>
      </c>
      <c r="J672" s="139">
        <v>0</v>
      </c>
      <c r="K672" s="139">
        <v>3892</v>
      </c>
      <c r="L672" s="139">
        <v>2</v>
      </c>
      <c r="M672" s="139">
        <v>3890</v>
      </c>
      <c r="N672" s="213" t="s">
        <v>646</v>
      </c>
    </row>
    <row r="673" spans="1:14" ht="15.75" customHeight="1" x14ac:dyDescent="0.25">
      <c r="A673" s="183">
        <v>45874</v>
      </c>
      <c r="B673" s="212" t="s">
        <v>602</v>
      </c>
      <c r="C673" s="184">
        <v>5.09</v>
      </c>
      <c r="D673" s="184">
        <v>2.46</v>
      </c>
      <c r="E673" s="184">
        <v>2.63</v>
      </c>
      <c r="F673" s="212" t="s">
        <v>619</v>
      </c>
      <c r="G673" s="212" t="s">
        <v>624</v>
      </c>
      <c r="H673" s="139">
        <v>1400</v>
      </c>
      <c r="I673" s="139">
        <v>3682</v>
      </c>
      <c r="J673" s="139">
        <v>0</v>
      </c>
      <c r="K673" s="139">
        <v>3682</v>
      </c>
      <c r="L673" s="139">
        <v>2</v>
      </c>
      <c r="M673" s="139">
        <v>3680</v>
      </c>
      <c r="N673" s="213" t="s">
        <v>646</v>
      </c>
    </row>
    <row r="674" spans="1:14" ht="15.75" customHeight="1" x14ac:dyDescent="0.25">
      <c r="A674" s="183">
        <v>45875</v>
      </c>
      <c r="B674" s="212" t="s">
        <v>603</v>
      </c>
      <c r="C674" s="184">
        <v>34.1</v>
      </c>
      <c r="D674" s="184">
        <v>9.36</v>
      </c>
      <c r="E674" s="184">
        <v>24.74</v>
      </c>
      <c r="F674" s="212" t="s">
        <v>621</v>
      </c>
      <c r="G674" s="212" t="s">
        <v>625</v>
      </c>
      <c r="H674" s="139">
        <v>500</v>
      </c>
      <c r="I674" s="139">
        <v>12370</v>
      </c>
      <c r="J674" s="139">
        <v>0</v>
      </c>
      <c r="K674" s="139">
        <v>12370</v>
      </c>
      <c r="L674" s="139">
        <v>0</v>
      </c>
      <c r="M674" s="139">
        <v>12370</v>
      </c>
      <c r="N674" s="213" t="s">
        <v>647</v>
      </c>
    </row>
    <row r="675" spans="1:14" ht="15.75" customHeight="1" x14ac:dyDescent="0.25">
      <c r="A675" s="183">
        <v>45875</v>
      </c>
      <c r="B675" s="212" t="s">
        <v>604</v>
      </c>
      <c r="C675" s="184">
        <v>30.42</v>
      </c>
      <c r="D675" s="184">
        <v>9.91</v>
      </c>
      <c r="E675" s="184">
        <v>20.51</v>
      </c>
      <c r="F675" s="212" t="s">
        <v>619</v>
      </c>
      <c r="G675" s="212" t="s">
        <v>627</v>
      </c>
      <c r="H675" s="139">
        <v>1350</v>
      </c>
      <c r="I675" s="139">
        <v>27688.5</v>
      </c>
      <c r="J675" s="139">
        <v>2000</v>
      </c>
      <c r="K675" s="139">
        <v>29688.5</v>
      </c>
      <c r="L675" s="139">
        <v>0.5</v>
      </c>
      <c r="M675" s="139">
        <v>29688</v>
      </c>
      <c r="N675" s="213" t="s">
        <v>647</v>
      </c>
    </row>
    <row r="676" spans="1:14" ht="15.75" customHeight="1" x14ac:dyDescent="0.25">
      <c r="A676" s="183">
        <v>45875</v>
      </c>
      <c r="B676" s="212" t="s">
        <v>605</v>
      </c>
      <c r="C676" s="184">
        <v>4.8499999999999996</v>
      </c>
      <c r="D676" s="184">
        <v>2.95</v>
      </c>
      <c r="E676" s="184">
        <v>1.9</v>
      </c>
      <c r="F676" s="212" t="s">
        <v>622</v>
      </c>
      <c r="G676" s="212" t="s">
        <v>628</v>
      </c>
      <c r="H676" s="139">
        <v>1200</v>
      </c>
      <c r="I676" s="139">
        <v>2280</v>
      </c>
      <c r="J676" s="139">
        <v>0</v>
      </c>
      <c r="K676" s="139">
        <v>2280</v>
      </c>
      <c r="L676" s="139">
        <v>10</v>
      </c>
      <c r="M676" s="139">
        <v>2270</v>
      </c>
      <c r="N676" s="213" t="s">
        <v>648</v>
      </c>
    </row>
    <row r="677" spans="1:14" ht="15.75" customHeight="1" x14ac:dyDescent="0.25">
      <c r="A677" s="183">
        <v>45881</v>
      </c>
      <c r="B677" s="212" t="s">
        <v>606</v>
      </c>
      <c r="C677" s="184">
        <v>6.07</v>
      </c>
      <c r="D677" s="184">
        <v>3.26</v>
      </c>
      <c r="E677" s="184">
        <v>2.81</v>
      </c>
      <c r="F677" s="212" t="s">
        <v>620</v>
      </c>
      <c r="G677" s="212" t="s">
        <v>629</v>
      </c>
      <c r="H677" s="139">
        <v>1250</v>
      </c>
      <c r="I677" s="139">
        <v>3512.5</v>
      </c>
      <c r="J677" s="139">
        <v>0</v>
      </c>
      <c r="K677" s="139">
        <v>3512.5</v>
      </c>
      <c r="L677" s="139">
        <v>12.5</v>
      </c>
      <c r="M677" s="139">
        <v>3500</v>
      </c>
      <c r="N677" s="213" t="s">
        <v>648</v>
      </c>
    </row>
    <row r="678" spans="1:14" ht="15.75" customHeight="1" x14ac:dyDescent="0.25">
      <c r="A678" s="183">
        <v>45881</v>
      </c>
      <c r="B678" s="212" t="s">
        <v>604</v>
      </c>
      <c r="C678" s="184">
        <v>29.5</v>
      </c>
      <c r="D678" s="184">
        <v>9.58</v>
      </c>
      <c r="E678" s="184">
        <v>19.920000000000002</v>
      </c>
      <c r="F678" s="212" t="s">
        <v>623</v>
      </c>
      <c r="G678" s="212" t="s">
        <v>630</v>
      </c>
      <c r="H678" s="139">
        <v>1365</v>
      </c>
      <c r="I678" s="139">
        <v>27190.799999999999</v>
      </c>
      <c r="J678" s="139">
        <v>0</v>
      </c>
      <c r="K678" s="139">
        <v>27190.799999999999</v>
      </c>
      <c r="L678" s="139">
        <v>0</v>
      </c>
      <c r="M678" s="139">
        <v>27190.799999999999</v>
      </c>
      <c r="N678" s="213" t="s">
        <v>647</v>
      </c>
    </row>
    <row r="679" spans="1:14" ht="15.75" customHeight="1" x14ac:dyDescent="0.25">
      <c r="A679" s="183">
        <v>45882</v>
      </c>
      <c r="B679" s="212" t="s">
        <v>604</v>
      </c>
      <c r="C679" s="184">
        <v>22.35</v>
      </c>
      <c r="D679" s="184">
        <v>9.5</v>
      </c>
      <c r="E679" s="184">
        <v>12.85</v>
      </c>
      <c r="F679" s="212" t="s">
        <v>620</v>
      </c>
      <c r="G679" s="212" t="s">
        <v>631</v>
      </c>
      <c r="H679" s="139">
        <v>1250</v>
      </c>
      <c r="I679" s="139">
        <v>16062.5</v>
      </c>
      <c r="J679" s="139">
        <v>2000</v>
      </c>
      <c r="K679" s="139">
        <v>18062.5</v>
      </c>
      <c r="L679" s="139">
        <v>62.5</v>
      </c>
      <c r="M679" s="139">
        <v>18000</v>
      </c>
      <c r="N679" s="213" t="s">
        <v>648</v>
      </c>
    </row>
    <row r="680" spans="1:14" ht="15.75" customHeight="1" x14ac:dyDescent="0.25">
      <c r="A680" s="183">
        <v>45882</v>
      </c>
      <c r="B680" s="212" t="s">
        <v>607</v>
      </c>
      <c r="C680" s="184">
        <v>27.63</v>
      </c>
      <c r="D680" s="184">
        <v>10.210000000000001</v>
      </c>
      <c r="E680" s="184">
        <v>17.420000000000002</v>
      </c>
      <c r="F680" s="212" t="s">
        <v>623</v>
      </c>
      <c r="G680" s="212" t="s">
        <v>630</v>
      </c>
      <c r="H680" s="139">
        <v>1365</v>
      </c>
      <c r="I680" s="139">
        <v>23778.3</v>
      </c>
      <c r="J680" s="139">
        <v>0</v>
      </c>
      <c r="K680" s="139">
        <v>23778.3</v>
      </c>
      <c r="L680" s="139">
        <v>0</v>
      </c>
      <c r="M680" s="139">
        <v>23778.3</v>
      </c>
      <c r="N680" s="213" t="s">
        <v>647</v>
      </c>
    </row>
    <row r="681" spans="1:14" ht="15.75" customHeight="1" x14ac:dyDescent="0.25">
      <c r="A681" s="183">
        <v>45882</v>
      </c>
      <c r="B681" s="212" t="s">
        <v>608</v>
      </c>
      <c r="C681" s="184">
        <v>27.15</v>
      </c>
      <c r="D681" s="184">
        <v>9.77</v>
      </c>
      <c r="E681" s="184">
        <v>17.38</v>
      </c>
      <c r="F681" s="212" t="s">
        <v>623</v>
      </c>
      <c r="G681" s="212" t="s">
        <v>630</v>
      </c>
      <c r="H681" s="139">
        <v>1365</v>
      </c>
      <c r="I681" s="139">
        <v>23723.7</v>
      </c>
      <c r="J681" s="139">
        <v>0</v>
      </c>
      <c r="K681" s="139">
        <v>23723.7</v>
      </c>
      <c r="L681" s="139">
        <v>0</v>
      </c>
      <c r="M681" s="139">
        <v>23723.7</v>
      </c>
      <c r="N681" s="213" t="s">
        <v>647</v>
      </c>
    </row>
    <row r="682" spans="1:14" ht="15.75" customHeight="1" x14ac:dyDescent="0.25">
      <c r="A682" s="183">
        <v>45882</v>
      </c>
      <c r="B682" s="212" t="s">
        <v>604</v>
      </c>
      <c r="C682" s="184">
        <v>27.98</v>
      </c>
      <c r="D682" s="184">
        <v>9.41</v>
      </c>
      <c r="E682" s="184">
        <v>18.57</v>
      </c>
      <c r="F682" s="212" t="s">
        <v>619</v>
      </c>
      <c r="G682" s="212" t="s">
        <v>632</v>
      </c>
      <c r="H682" s="139">
        <v>1425</v>
      </c>
      <c r="I682" s="139">
        <v>26462.25</v>
      </c>
      <c r="J682" s="139">
        <v>2000</v>
      </c>
      <c r="K682" s="139">
        <v>28462.25</v>
      </c>
      <c r="L682" s="139">
        <v>0</v>
      </c>
      <c r="M682" s="139">
        <v>28462.25</v>
      </c>
      <c r="N682" s="213" t="s">
        <v>647</v>
      </c>
    </row>
    <row r="683" spans="1:14" ht="15.75" customHeight="1" x14ac:dyDescent="0.25">
      <c r="A683" s="183">
        <v>45882</v>
      </c>
      <c r="B683" s="212" t="s">
        <v>606</v>
      </c>
      <c r="C683" s="184">
        <v>6.09</v>
      </c>
      <c r="D683" s="184">
        <v>3.33</v>
      </c>
      <c r="E683" s="184">
        <v>2.76</v>
      </c>
      <c r="F683" s="212" t="s">
        <v>620</v>
      </c>
      <c r="G683" s="212" t="s">
        <v>633</v>
      </c>
      <c r="H683" s="139">
        <v>1250</v>
      </c>
      <c r="I683" s="139">
        <v>3450</v>
      </c>
      <c r="J683" s="139">
        <v>0</v>
      </c>
      <c r="K683" s="139">
        <v>3450</v>
      </c>
      <c r="L683" s="139">
        <v>0</v>
      </c>
      <c r="M683" s="139">
        <v>3450</v>
      </c>
      <c r="N683" s="213" t="s">
        <v>648</v>
      </c>
    </row>
    <row r="684" spans="1:14" ht="15.75" customHeight="1" x14ac:dyDescent="0.25">
      <c r="A684" s="183">
        <v>45883</v>
      </c>
      <c r="B684" s="212" t="s">
        <v>604</v>
      </c>
      <c r="C684" s="184">
        <v>28.11</v>
      </c>
      <c r="D684" s="184">
        <v>9.7799999999999994</v>
      </c>
      <c r="E684" s="184">
        <v>18.329999999999998</v>
      </c>
      <c r="F684" s="212" t="s">
        <v>623</v>
      </c>
      <c r="G684" s="212" t="s">
        <v>634</v>
      </c>
      <c r="H684" s="139">
        <v>1225</v>
      </c>
      <c r="I684" s="139">
        <v>22454.25</v>
      </c>
      <c r="J684" s="139">
        <v>0</v>
      </c>
      <c r="K684" s="139">
        <v>22454.25</v>
      </c>
      <c r="L684" s="139">
        <v>0</v>
      </c>
      <c r="M684" s="139">
        <v>22454.25</v>
      </c>
      <c r="N684" s="213" t="s">
        <v>647</v>
      </c>
    </row>
    <row r="685" spans="1:14" ht="15.75" customHeight="1" x14ac:dyDescent="0.25">
      <c r="A685" s="183">
        <v>45883</v>
      </c>
      <c r="B685" s="212" t="s">
        <v>605</v>
      </c>
      <c r="C685" s="184">
        <v>6.95</v>
      </c>
      <c r="D685" s="184">
        <v>3.21</v>
      </c>
      <c r="E685" s="184">
        <v>3.74</v>
      </c>
      <c r="F685" s="212" t="s">
        <v>619</v>
      </c>
      <c r="G685" s="212" t="s">
        <v>627</v>
      </c>
      <c r="H685" s="139">
        <v>1350</v>
      </c>
      <c r="I685" s="139">
        <v>5049</v>
      </c>
      <c r="J685" s="139">
        <v>0</v>
      </c>
      <c r="K685" s="139">
        <v>5049</v>
      </c>
      <c r="L685" s="139">
        <v>49</v>
      </c>
      <c r="M685" s="139">
        <v>5000</v>
      </c>
      <c r="N685" s="213" t="s">
        <v>647</v>
      </c>
    </row>
    <row r="686" spans="1:14" ht="15.75" customHeight="1" x14ac:dyDescent="0.25">
      <c r="A686" s="183">
        <v>45883</v>
      </c>
      <c r="B686" s="212" t="s">
        <v>607</v>
      </c>
      <c r="C686" s="184">
        <v>27.67</v>
      </c>
      <c r="D686" s="184">
        <v>10.01</v>
      </c>
      <c r="E686" s="184">
        <v>17.66</v>
      </c>
      <c r="F686" s="212" t="s">
        <v>623</v>
      </c>
      <c r="G686" s="212" t="s">
        <v>630</v>
      </c>
      <c r="H686" s="139">
        <v>1365</v>
      </c>
      <c r="I686" s="139">
        <v>24105.9</v>
      </c>
      <c r="J686" s="139">
        <v>0</v>
      </c>
      <c r="K686" s="139">
        <v>24105.9</v>
      </c>
      <c r="L686" s="139">
        <v>0</v>
      </c>
      <c r="M686" s="139">
        <v>24105.9</v>
      </c>
      <c r="N686" s="213" t="s">
        <v>647</v>
      </c>
    </row>
    <row r="687" spans="1:14" ht="15.75" customHeight="1" x14ac:dyDescent="0.25">
      <c r="A687" s="183">
        <v>45883</v>
      </c>
      <c r="B687" s="212" t="s">
        <v>608</v>
      </c>
      <c r="C687" s="184">
        <v>27.78</v>
      </c>
      <c r="D687" s="184">
        <v>10.199999999999999</v>
      </c>
      <c r="E687" s="184">
        <v>17.579999999999998</v>
      </c>
      <c r="F687" s="212" t="s">
        <v>623</v>
      </c>
      <c r="G687" s="212" t="s">
        <v>630</v>
      </c>
      <c r="H687" s="139">
        <v>1365</v>
      </c>
      <c r="I687" s="139">
        <v>23996.7</v>
      </c>
      <c r="J687" s="139">
        <v>0</v>
      </c>
      <c r="K687" s="139">
        <v>23996.7</v>
      </c>
      <c r="L687" s="139">
        <v>0</v>
      </c>
      <c r="M687" s="139">
        <v>23996.7</v>
      </c>
      <c r="N687" s="213" t="s">
        <v>647</v>
      </c>
    </row>
    <row r="688" spans="1:14" ht="15.75" customHeight="1" x14ac:dyDescent="0.25">
      <c r="A688" s="183">
        <v>45885</v>
      </c>
      <c r="B688" s="212" t="s">
        <v>609</v>
      </c>
      <c r="C688" s="184">
        <v>3.66</v>
      </c>
      <c r="D688" s="184">
        <v>1.73</v>
      </c>
      <c r="E688" s="184">
        <v>1.93</v>
      </c>
      <c r="F688" s="212" t="s">
        <v>619</v>
      </c>
      <c r="G688" s="212" t="s">
        <v>635</v>
      </c>
      <c r="H688" s="139">
        <v>1450</v>
      </c>
      <c r="I688" s="139">
        <v>2798.5</v>
      </c>
      <c r="J688" s="139">
        <v>0</v>
      </c>
      <c r="K688" s="139">
        <v>2798.5</v>
      </c>
      <c r="L688" s="139">
        <v>8.5</v>
      </c>
      <c r="M688" s="139">
        <v>2790</v>
      </c>
      <c r="N688" s="213" t="s">
        <v>648</v>
      </c>
    </row>
    <row r="689" spans="1:14" ht="15.75" customHeight="1" x14ac:dyDescent="0.25">
      <c r="A689" s="183">
        <v>45885</v>
      </c>
      <c r="B689" s="212" t="s">
        <v>604</v>
      </c>
      <c r="C689" s="184">
        <v>29.06</v>
      </c>
      <c r="D689" s="184">
        <v>9.6</v>
      </c>
      <c r="E689" s="184">
        <v>19.46</v>
      </c>
      <c r="F689" s="212" t="s">
        <v>623</v>
      </c>
      <c r="G689" s="212" t="s">
        <v>634</v>
      </c>
      <c r="H689" s="139">
        <v>1225</v>
      </c>
      <c r="I689" s="139">
        <v>23838.5</v>
      </c>
      <c r="J689" s="139">
        <v>0</v>
      </c>
      <c r="K689" s="139">
        <v>23838.5</v>
      </c>
      <c r="L689" s="139">
        <v>0</v>
      </c>
      <c r="M689" s="139">
        <v>23838.5</v>
      </c>
      <c r="N689" s="213" t="s">
        <v>647</v>
      </c>
    </row>
    <row r="690" spans="1:14" ht="15.75" customHeight="1" x14ac:dyDescent="0.25">
      <c r="A690" s="183">
        <v>45885</v>
      </c>
      <c r="B690" s="212" t="s">
        <v>604</v>
      </c>
      <c r="C690" s="184">
        <v>26.64</v>
      </c>
      <c r="D690" s="184">
        <v>9.85</v>
      </c>
      <c r="E690" s="184">
        <v>16.79</v>
      </c>
      <c r="F690" s="212" t="s">
        <v>623</v>
      </c>
      <c r="G690" s="212" t="s">
        <v>634</v>
      </c>
      <c r="H690" s="139">
        <v>1225</v>
      </c>
      <c r="I690" s="139">
        <v>20567.75</v>
      </c>
      <c r="J690" s="139">
        <v>0</v>
      </c>
      <c r="K690" s="139">
        <v>20567.75</v>
      </c>
      <c r="L690" s="139">
        <v>0</v>
      </c>
      <c r="M690" s="139">
        <v>20567.75</v>
      </c>
      <c r="N690" s="213" t="s">
        <v>647</v>
      </c>
    </row>
    <row r="691" spans="1:14" ht="15.75" customHeight="1" x14ac:dyDescent="0.25">
      <c r="A691" s="183">
        <v>45885</v>
      </c>
      <c r="B691" s="212" t="s">
        <v>604</v>
      </c>
      <c r="C691" s="184">
        <v>17.23</v>
      </c>
      <c r="D691" s="184">
        <v>9.8000000000000007</v>
      </c>
      <c r="E691" s="184">
        <v>7.43</v>
      </c>
      <c r="F691" s="212" t="s">
        <v>619</v>
      </c>
      <c r="G691" s="212" t="s">
        <v>636</v>
      </c>
      <c r="H691" s="139">
        <v>1450</v>
      </c>
      <c r="I691" s="139">
        <v>10773.5</v>
      </c>
      <c r="J691" s="139">
        <v>1500</v>
      </c>
      <c r="K691" s="139">
        <v>12273.5</v>
      </c>
      <c r="L691" s="139">
        <v>23.5</v>
      </c>
      <c r="M691" s="139">
        <v>12250</v>
      </c>
      <c r="N691" s="213" t="s">
        <v>648</v>
      </c>
    </row>
    <row r="692" spans="1:14" ht="15.75" customHeight="1" x14ac:dyDescent="0.25">
      <c r="A692" s="183">
        <v>45886</v>
      </c>
      <c r="B692" s="212" t="s">
        <v>604</v>
      </c>
      <c r="C692" s="184">
        <v>29.07</v>
      </c>
      <c r="D692" s="184">
        <v>9.2899999999999991</v>
      </c>
      <c r="E692" s="184">
        <v>19.78</v>
      </c>
      <c r="F692" s="212" t="s">
        <v>619</v>
      </c>
      <c r="G692" s="212" t="s">
        <v>637</v>
      </c>
      <c r="H692" s="139">
        <v>1350</v>
      </c>
      <c r="I692" s="139">
        <v>26703</v>
      </c>
      <c r="J692" s="139">
        <v>1000</v>
      </c>
      <c r="K692" s="139">
        <v>27703</v>
      </c>
      <c r="L692" s="139">
        <v>3</v>
      </c>
      <c r="M692" s="139">
        <v>27700</v>
      </c>
      <c r="N692" s="213" t="s">
        <v>647</v>
      </c>
    </row>
    <row r="693" spans="1:14" ht="15.75" customHeight="1" x14ac:dyDescent="0.25">
      <c r="A693" s="183">
        <v>45887</v>
      </c>
      <c r="B693" s="212" t="s">
        <v>604</v>
      </c>
      <c r="C693" s="184">
        <v>30.17</v>
      </c>
      <c r="D693" s="184">
        <v>9.31</v>
      </c>
      <c r="E693" s="184">
        <v>20.86</v>
      </c>
      <c r="F693" s="212" t="s">
        <v>623</v>
      </c>
      <c r="G693" s="212" t="s">
        <v>630</v>
      </c>
      <c r="H693" s="139">
        <v>1365</v>
      </c>
      <c r="I693" s="139">
        <v>28473.9</v>
      </c>
      <c r="J693" s="139">
        <v>0</v>
      </c>
      <c r="K693" s="139">
        <v>28473.9</v>
      </c>
      <c r="L693" s="139">
        <v>0</v>
      </c>
      <c r="M693" s="139">
        <v>28473.9</v>
      </c>
      <c r="N693" s="213" t="s">
        <v>647</v>
      </c>
    </row>
    <row r="694" spans="1:14" ht="15.75" customHeight="1" x14ac:dyDescent="0.25">
      <c r="A694" s="183">
        <v>45888</v>
      </c>
      <c r="B694" s="212" t="s">
        <v>604</v>
      </c>
      <c r="C694" s="184">
        <v>28.16</v>
      </c>
      <c r="D694" s="184">
        <v>9.93</v>
      </c>
      <c r="E694" s="184">
        <v>18.23</v>
      </c>
      <c r="F694" s="212" t="s">
        <v>623</v>
      </c>
      <c r="G694" s="212" t="s">
        <v>630</v>
      </c>
      <c r="H694" s="139">
        <v>1365</v>
      </c>
      <c r="I694" s="139">
        <v>24883.95</v>
      </c>
      <c r="J694" s="139">
        <v>0</v>
      </c>
      <c r="K694" s="139">
        <v>24883.95</v>
      </c>
      <c r="L694" s="139">
        <v>0</v>
      </c>
      <c r="M694" s="139">
        <v>24883.95</v>
      </c>
      <c r="N694" s="213" t="s">
        <v>647</v>
      </c>
    </row>
    <row r="695" spans="1:14" ht="15.75" customHeight="1" x14ac:dyDescent="0.25">
      <c r="A695" s="183">
        <v>45888</v>
      </c>
      <c r="B695" s="212" t="s">
        <v>604</v>
      </c>
      <c r="C695" s="184">
        <v>29.98</v>
      </c>
      <c r="D695" s="184">
        <v>9.35</v>
      </c>
      <c r="E695" s="184">
        <v>20.63</v>
      </c>
      <c r="F695" s="212" t="s">
        <v>623</v>
      </c>
      <c r="G695" s="212" t="s">
        <v>634</v>
      </c>
      <c r="H695" s="139">
        <v>1225</v>
      </c>
      <c r="I695" s="139">
        <v>25271.75</v>
      </c>
      <c r="J695" s="139">
        <v>0</v>
      </c>
      <c r="K695" s="139">
        <v>25271.75</v>
      </c>
      <c r="L695" s="139">
        <v>0</v>
      </c>
      <c r="M695" s="139">
        <v>25271.75</v>
      </c>
      <c r="N695" s="213" t="s">
        <v>647</v>
      </c>
    </row>
    <row r="696" spans="1:14" ht="15.75" customHeight="1" x14ac:dyDescent="0.25">
      <c r="A696" s="183">
        <v>45889</v>
      </c>
      <c r="B696" s="212" t="s">
        <v>610</v>
      </c>
      <c r="C696" s="184">
        <v>29.76</v>
      </c>
      <c r="D696" s="184">
        <v>9.43</v>
      </c>
      <c r="E696" s="184">
        <v>20.329999999999998</v>
      </c>
      <c r="F696" s="212" t="s">
        <v>619</v>
      </c>
      <c r="G696" s="212" t="s">
        <v>638</v>
      </c>
      <c r="H696" s="139">
        <v>1300</v>
      </c>
      <c r="I696" s="139">
        <v>26429</v>
      </c>
      <c r="J696" s="139">
        <v>0</v>
      </c>
      <c r="K696" s="139">
        <v>26429</v>
      </c>
      <c r="L696" s="139">
        <v>0</v>
      </c>
      <c r="M696" s="139">
        <v>26429</v>
      </c>
      <c r="N696" s="213" t="s">
        <v>647</v>
      </c>
    </row>
    <row r="697" spans="1:14" ht="15.75" customHeight="1" x14ac:dyDescent="0.25">
      <c r="A697" s="183">
        <v>45889</v>
      </c>
      <c r="B697" s="212" t="s">
        <v>611</v>
      </c>
      <c r="C697" s="184">
        <v>29.99</v>
      </c>
      <c r="D697" s="184">
        <v>10.029999999999999</v>
      </c>
      <c r="E697" s="184">
        <v>19.96</v>
      </c>
      <c r="F697" s="212" t="s">
        <v>619</v>
      </c>
      <c r="G697" s="212" t="s">
        <v>638</v>
      </c>
      <c r="H697" s="139">
        <v>1300</v>
      </c>
      <c r="I697" s="139">
        <v>25948</v>
      </c>
      <c r="J697" s="139">
        <v>0</v>
      </c>
      <c r="K697" s="139">
        <v>25948</v>
      </c>
      <c r="L697" s="139">
        <v>0</v>
      </c>
      <c r="M697" s="139">
        <v>25948</v>
      </c>
      <c r="N697" s="213" t="s">
        <v>647</v>
      </c>
    </row>
    <row r="698" spans="1:14" ht="15.75" customHeight="1" x14ac:dyDescent="0.25">
      <c r="A698" s="183">
        <v>45889</v>
      </c>
      <c r="B698" s="212" t="s">
        <v>604</v>
      </c>
      <c r="C698" s="184">
        <v>28.17</v>
      </c>
      <c r="D698" s="184">
        <v>9.77</v>
      </c>
      <c r="E698" s="184">
        <v>18.399999999999999</v>
      </c>
      <c r="F698" s="212" t="s">
        <v>623</v>
      </c>
      <c r="G698" s="212" t="s">
        <v>634</v>
      </c>
      <c r="H698" s="139">
        <v>1225</v>
      </c>
      <c r="I698" s="139">
        <v>22540</v>
      </c>
      <c r="J698" s="139">
        <v>0</v>
      </c>
      <c r="K698" s="139">
        <v>22540</v>
      </c>
      <c r="L698" s="139">
        <v>0</v>
      </c>
      <c r="M698" s="139">
        <v>22540</v>
      </c>
      <c r="N698" s="213" t="s">
        <v>647</v>
      </c>
    </row>
    <row r="699" spans="1:14" ht="15.75" customHeight="1" x14ac:dyDescent="0.25">
      <c r="A699" s="183">
        <v>45889</v>
      </c>
      <c r="B699" s="212" t="s">
        <v>607</v>
      </c>
      <c r="C699" s="184">
        <v>29.64</v>
      </c>
      <c r="D699" s="184">
        <v>9.43</v>
      </c>
      <c r="E699" s="184">
        <v>20.21</v>
      </c>
      <c r="F699" s="212" t="s">
        <v>619</v>
      </c>
      <c r="G699" s="212" t="s">
        <v>638</v>
      </c>
      <c r="H699" s="139">
        <v>1300</v>
      </c>
      <c r="I699" s="139">
        <v>26273</v>
      </c>
      <c r="J699" s="139">
        <v>0</v>
      </c>
      <c r="K699" s="139">
        <v>26273</v>
      </c>
      <c r="L699" s="139">
        <v>0</v>
      </c>
      <c r="M699" s="139">
        <v>26273</v>
      </c>
      <c r="N699" s="213" t="s">
        <v>647</v>
      </c>
    </row>
    <row r="700" spans="1:14" ht="15.75" customHeight="1" x14ac:dyDescent="0.25">
      <c r="A700" s="183">
        <v>45889</v>
      </c>
      <c r="B700" s="212" t="s">
        <v>608</v>
      </c>
      <c r="C700" s="184">
        <v>28.79</v>
      </c>
      <c r="D700" s="184">
        <v>10.1</v>
      </c>
      <c r="E700" s="184">
        <v>18.690000000000001</v>
      </c>
      <c r="F700" s="212" t="s">
        <v>619</v>
      </c>
      <c r="G700" s="212" t="s">
        <v>638</v>
      </c>
      <c r="H700" s="139">
        <v>1300</v>
      </c>
      <c r="I700" s="139">
        <v>24297</v>
      </c>
      <c r="J700" s="139">
        <v>0</v>
      </c>
      <c r="K700" s="139">
        <v>24297</v>
      </c>
      <c r="L700" s="139">
        <v>0</v>
      </c>
      <c r="M700" s="139">
        <v>24297</v>
      </c>
      <c r="N700" s="213" t="s">
        <v>647</v>
      </c>
    </row>
    <row r="701" spans="1:14" ht="15.75" customHeight="1" x14ac:dyDescent="0.25">
      <c r="A701" s="183">
        <v>45889</v>
      </c>
      <c r="B701" s="212" t="s">
        <v>610</v>
      </c>
      <c r="C701" s="184">
        <v>29.43</v>
      </c>
      <c r="D701" s="184">
        <v>9.33</v>
      </c>
      <c r="E701" s="184">
        <v>20.100000000000001</v>
      </c>
      <c r="F701" s="212" t="s">
        <v>619</v>
      </c>
      <c r="G701" s="212" t="s">
        <v>638</v>
      </c>
      <c r="H701" s="139">
        <v>1300</v>
      </c>
      <c r="I701" s="139">
        <v>26130</v>
      </c>
      <c r="J701" s="139">
        <v>0</v>
      </c>
      <c r="K701" s="139">
        <v>26130</v>
      </c>
      <c r="L701" s="139">
        <v>0</v>
      </c>
      <c r="M701" s="139">
        <v>26130</v>
      </c>
      <c r="N701" s="213" t="s">
        <v>647</v>
      </c>
    </row>
    <row r="702" spans="1:14" ht="15.75" customHeight="1" x14ac:dyDescent="0.25">
      <c r="A702" s="183">
        <v>45889</v>
      </c>
      <c r="B702" s="212" t="s">
        <v>607</v>
      </c>
      <c r="C702" s="184">
        <v>28.31</v>
      </c>
      <c r="D702" s="184">
        <v>10.029999999999999</v>
      </c>
      <c r="E702" s="184">
        <v>18.28</v>
      </c>
      <c r="F702" s="212" t="s">
        <v>620</v>
      </c>
      <c r="G702" s="212" t="s">
        <v>638</v>
      </c>
      <c r="H702" s="139">
        <v>1100</v>
      </c>
      <c r="I702" s="139">
        <v>20108</v>
      </c>
      <c r="J702" s="139">
        <v>0</v>
      </c>
      <c r="K702" s="139">
        <v>20108</v>
      </c>
      <c r="L702" s="139">
        <v>0</v>
      </c>
      <c r="M702" s="139">
        <v>20108</v>
      </c>
      <c r="N702" s="213" t="s">
        <v>647</v>
      </c>
    </row>
    <row r="703" spans="1:14" ht="15.75" customHeight="1" x14ac:dyDescent="0.25">
      <c r="A703" s="183">
        <v>45889</v>
      </c>
      <c r="B703" s="212" t="s">
        <v>608</v>
      </c>
      <c r="C703" s="184">
        <v>29.06</v>
      </c>
      <c r="D703" s="184">
        <v>9.99</v>
      </c>
      <c r="E703" s="184">
        <v>19.07</v>
      </c>
      <c r="F703" s="212" t="s">
        <v>620</v>
      </c>
      <c r="G703" s="212" t="s">
        <v>638</v>
      </c>
      <c r="H703" s="139">
        <v>1100</v>
      </c>
      <c r="I703" s="139">
        <v>20977</v>
      </c>
      <c r="J703" s="139">
        <v>0</v>
      </c>
      <c r="K703" s="139">
        <v>20977</v>
      </c>
      <c r="L703" s="139">
        <v>0</v>
      </c>
      <c r="M703" s="139">
        <v>20977</v>
      </c>
      <c r="N703" s="213" t="s">
        <v>647</v>
      </c>
    </row>
    <row r="704" spans="1:14" ht="15.75" customHeight="1" x14ac:dyDescent="0.25">
      <c r="A704" s="183">
        <v>45889</v>
      </c>
      <c r="B704" s="212" t="s">
        <v>611</v>
      </c>
      <c r="C704" s="184">
        <v>27.56</v>
      </c>
      <c r="D704" s="184">
        <v>10.02</v>
      </c>
      <c r="E704" s="184">
        <v>17.54</v>
      </c>
      <c r="F704" s="212" t="s">
        <v>621</v>
      </c>
      <c r="G704" s="212" t="s">
        <v>638</v>
      </c>
      <c r="H704" s="139">
        <v>500</v>
      </c>
      <c r="I704" s="139">
        <v>8770</v>
      </c>
      <c r="J704" s="139">
        <v>0</v>
      </c>
      <c r="K704" s="139">
        <v>8770</v>
      </c>
      <c r="L704" s="139">
        <v>0</v>
      </c>
      <c r="M704" s="139">
        <v>8770</v>
      </c>
      <c r="N704" s="213" t="s">
        <v>647</v>
      </c>
    </row>
    <row r="705" spans="1:14" ht="15.75" customHeight="1" x14ac:dyDescent="0.25">
      <c r="A705" s="183">
        <v>45889</v>
      </c>
      <c r="B705" s="212" t="s">
        <v>604</v>
      </c>
      <c r="C705" s="184">
        <v>28.59</v>
      </c>
      <c r="D705" s="184">
        <v>9.84</v>
      </c>
      <c r="E705" s="184">
        <v>18.75</v>
      </c>
      <c r="F705" s="212" t="s">
        <v>623</v>
      </c>
      <c r="G705" s="212" t="s">
        <v>630</v>
      </c>
      <c r="H705" s="139">
        <v>1365</v>
      </c>
      <c r="I705" s="139">
        <v>25593.75</v>
      </c>
      <c r="J705" s="139">
        <v>0</v>
      </c>
      <c r="K705" s="139">
        <v>25593.75</v>
      </c>
      <c r="L705" s="139">
        <v>0</v>
      </c>
      <c r="M705" s="139">
        <v>25593.75</v>
      </c>
      <c r="N705" s="213" t="s">
        <v>647</v>
      </c>
    </row>
    <row r="706" spans="1:14" ht="15.75" customHeight="1" x14ac:dyDescent="0.25">
      <c r="A706" s="183">
        <v>45889</v>
      </c>
      <c r="B706" s="212" t="s">
        <v>612</v>
      </c>
      <c r="C706" s="184">
        <v>6.57</v>
      </c>
      <c r="D706" s="184">
        <v>2.79</v>
      </c>
      <c r="E706" s="184">
        <v>3.78</v>
      </c>
      <c r="F706" s="212" t="s">
        <v>619</v>
      </c>
      <c r="G706" s="212" t="s">
        <v>639</v>
      </c>
      <c r="H706" s="139">
        <v>1450</v>
      </c>
      <c r="I706" s="139">
        <v>5481</v>
      </c>
      <c r="J706" s="139">
        <v>0</v>
      </c>
      <c r="K706" s="139">
        <v>5481</v>
      </c>
      <c r="L706" s="139">
        <v>81</v>
      </c>
      <c r="M706" s="139">
        <v>5400</v>
      </c>
      <c r="N706" s="213" t="s">
        <v>648</v>
      </c>
    </row>
    <row r="707" spans="1:14" ht="15.75" customHeight="1" x14ac:dyDescent="0.25">
      <c r="A707" s="183">
        <v>45889</v>
      </c>
      <c r="B707" s="212" t="s">
        <v>610</v>
      </c>
      <c r="C707" s="184">
        <v>29.59</v>
      </c>
      <c r="D707" s="184">
        <v>9.34</v>
      </c>
      <c r="E707" s="184">
        <v>20.25</v>
      </c>
      <c r="F707" s="212" t="s">
        <v>620</v>
      </c>
      <c r="G707" s="212" t="s">
        <v>638</v>
      </c>
      <c r="H707" s="139">
        <v>1100</v>
      </c>
      <c r="I707" s="139">
        <v>22275</v>
      </c>
      <c r="J707" s="139">
        <v>0</v>
      </c>
      <c r="K707" s="139">
        <v>22275</v>
      </c>
      <c r="L707" s="139">
        <v>0</v>
      </c>
      <c r="M707" s="139">
        <v>22275</v>
      </c>
      <c r="N707" s="213" t="s">
        <v>647</v>
      </c>
    </row>
    <row r="708" spans="1:14" ht="15.75" customHeight="1" x14ac:dyDescent="0.25">
      <c r="A708" s="183">
        <v>45889</v>
      </c>
      <c r="B708" s="212" t="s">
        <v>608</v>
      </c>
      <c r="C708" s="184">
        <v>28.58</v>
      </c>
      <c r="D708" s="184">
        <v>9.9</v>
      </c>
      <c r="E708" s="184">
        <v>18.68</v>
      </c>
      <c r="F708" s="212" t="s">
        <v>620</v>
      </c>
      <c r="G708" s="212" t="s">
        <v>638</v>
      </c>
      <c r="H708" s="139">
        <v>1100</v>
      </c>
      <c r="I708" s="139">
        <v>20548</v>
      </c>
      <c r="J708" s="139">
        <v>0</v>
      </c>
      <c r="K708" s="139">
        <v>20548</v>
      </c>
      <c r="L708" s="139">
        <v>0</v>
      </c>
      <c r="M708" s="139">
        <v>20548</v>
      </c>
      <c r="N708" s="213" t="s">
        <v>647</v>
      </c>
    </row>
    <row r="709" spans="1:14" ht="15.75" customHeight="1" x14ac:dyDescent="0.25">
      <c r="A709" s="183">
        <v>45889</v>
      </c>
      <c r="B709" s="212" t="s">
        <v>607</v>
      </c>
      <c r="C709" s="184">
        <v>30.05</v>
      </c>
      <c r="D709" s="184">
        <v>9.89</v>
      </c>
      <c r="E709" s="184">
        <v>20.16</v>
      </c>
      <c r="F709" s="212" t="s">
        <v>621</v>
      </c>
      <c r="G709" s="212" t="s">
        <v>638</v>
      </c>
      <c r="H709" s="139">
        <v>500</v>
      </c>
      <c r="I709" s="139">
        <v>10080</v>
      </c>
      <c r="J709" s="139">
        <v>0</v>
      </c>
      <c r="K709" s="139">
        <v>10080</v>
      </c>
      <c r="L709" s="139">
        <v>0</v>
      </c>
      <c r="M709" s="139">
        <v>10080</v>
      </c>
      <c r="N709" s="213" t="s">
        <v>647</v>
      </c>
    </row>
    <row r="710" spans="1:14" ht="15.75" customHeight="1" x14ac:dyDescent="0.25">
      <c r="A710" s="183">
        <v>45889</v>
      </c>
      <c r="B710" s="212" t="s">
        <v>611</v>
      </c>
      <c r="C710" s="184">
        <v>30.4</v>
      </c>
      <c r="D710" s="184">
        <v>9.08</v>
      </c>
      <c r="E710" s="184">
        <v>21.32</v>
      </c>
      <c r="F710" s="212" t="s">
        <v>621</v>
      </c>
      <c r="G710" s="212" t="s">
        <v>638</v>
      </c>
      <c r="H710" s="139">
        <v>500</v>
      </c>
      <c r="I710" s="139">
        <v>10660</v>
      </c>
      <c r="J710" s="139">
        <v>0</v>
      </c>
      <c r="K710" s="139">
        <v>10660</v>
      </c>
      <c r="L710" s="139">
        <v>0</v>
      </c>
      <c r="M710" s="139">
        <v>10660</v>
      </c>
      <c r="N710" s="213" t="s">
        <v>647</v>
      </c>
    </row>
    <row r="711" spans="1:14" ht="15.75" customHeight="1" x14ac:dyDescent="0.25">
      <c r="A711" s="183">
        <v>45890</v>
      </c>
      <c r="B711" s="212" t="s">
        <v>610</v>
      </c>
      <c r="C711" s="184">
        <v>30.21</v>
      </c>
      <c r="D711" s="184">
        <v>9.39</v>
      </c>
      <c r="E711" s="184">
        <v>20.82</v>
      </c>
      <c r="F711" s="212" t="s">
        <v>621</v>
      </c>
      <c r="G711" s="212" t="s">
        <v>638</v>
      </c>
      <c r="H711" s="139">
        <v>500</v>
      </c>
      <c r="I711" s="139">
        <v>10410</v>
      </c>
      <c r="J711" s="139">
        <v>0</v>
      </c>
      <c r="K711" s="139">
        <v>10410</v>
      </c>
      <c r="L711" s="139">
        <v>0</v>
      </c>
      <c r="M711" s="139">
        <v>10410</v>
      </c>
      <c r="N711" s="213" t="s">
        <v>647</v>
      </c>
    </row>
    <row r="712" spans="1:14" ht="15.75" customHeight="1" x14ac:dyDescent="0.25">
      <c r="A712" s="183">
        <v>45890</v>
      </c>
      <c r="B712" s="212" t="s">
        <v>607</v>
      </c>
      <c r="C712" s="184">
        <v>30.22</v>
      </c>
      <c r="D712" s="184">
        <v>10.78</v>
      </c>
      <c r="E712" s="184">
        <v>19.440000000000001</v>
      </c>
      <c r="F712" s="212" t="s">
        <v>621</v>
      </c>
      <c r="G712" s="212" t="s">
        <v>638</v>
      </c>
      <c r="H712" s="139">
        <v>500</v>
      </c>
      <c r="I712" s="139">
        <v>9720</v>
      </c>
      <c r="J712" s="139">
        <v>0</v>
      </c>
      <c r="K712" s="139">
        <v>9720</v>
      </c>
      <c r="L712" s="139">
        <v>0</v>
      </c>
      <c r="M712" s="139">
        <v>9720</v>
      </c>
      <c r="N712" s="213" t="s">
        <v>647</v>
      </c>
    </row>
    <row r="713" spans="1:14" ht="15.75" customHeight="1" x14ac:dyDescent="0.25">
      <c r="A713" s="183">
        <v>45890</v>
      </c>
      <c r="B713" s="212" t="s">
        <v>611</v>
      </c>
      <c r="C713" s="184">
        <v>31.51</v>
      </c>
      <c r="D713" s="184">
        <v>10.09</v>
      </c>
      <c r="E713" s="184">
        <v>21.42</v>
      </c>
      <c r="F713" s="212" t="s">
        <v>621</v>
      </c>
      <c r="G713" s="212" t="s">
        <v>638</v>
      </c>
      <c r="H713" s="139">
        <v>500</v>
      </c>
      <c r="I713" s="139">
        <v>10710</v>
      </c>
      <c r="J713" s="139">
        <v>0</v>
      </c>
      <c r="K713" s="139">
        <v>10710</v>
      </c>
      <c r="L713" s="139">
        <v>0</v>
      </c>
      <c r="M713" s="139">
        <v>10710</v>
      </c>
      <c r="N713" s="213" t="s">
        <v>647</v>
      </c>
    </row>
    <row r="714" spans="1:14" ht="15.75" customHeight="1" x14ac:dyDescent="0.25">
      <c r="A714" s="183">
        <v>45890</v>
      </c>
      <c r="B714" s="212" t="s">
        <v>608</v>
      </c>
      <c r="C714" s="184">
        <v>33.01</v>
      </c>
      <c r="D714" s="184">
        <v>10.33</v>
      </c>
      <c r="E714" s="184">
        <v>22.68</v>
      </c>
      <c r="F714" s="212" t="s">
        <v>621</v>
      </c>
      <c r="G714" s="212" t="s">
        <v>638</v>
      </c>
      <c r="H714" s="139">
        <v>500</v>
      </c>
      <c r="I714" s="139">
        <v>11340</v>
      </c>
      <c r="J714" s="139">
        <v>0</v>
      </c>
      <c r="K714" s="139">
        <v>11340</v>
      </c>
      <c r="L714" s="139">
        <v>0</v>
      </c>
      <c r="M714" s="139">
        <v>11340</v>
      </c>
      <c r="N714" s="213" t="s">
        <v>647</v>
      </c>
    </row>
    <row r="715" spans="1:14" ht="15.75" customHeight="1" x14ac:dyDescent="0.25">
      <c r="A715" s="183">
        <v>45890</v>
      </c>
      <c r="B715" s="212" t="s">
        <v>613</v>
      </c>
      <c r="C715" s="184">
        <v>31.64</v>
      </c>
      <c r="D715" s="184">
        <v>9.24</v>
      </c>
      <c r="E715" s="184">
        <v>22.4</v>
      </c>
      <c r="F715" s="212" t="s">
        <v>621</v>
      </c>
      <c r="G715" s="212" t="s">
        <v>638</v>
      </c>
      <c r="H715" s="139">
        <v>500</v>
      </c>
      <c r="I715" s="139">
        <v>11200</v>
      </c>
      <c r="J715" s="139">
        <v>0</v>
      </c>
      <c r="K715" s="139">
        <v>11200</v>
      </c>
      <c r="L715" s="139">
        <v>0</v>
      </c>
      <c r="M715" s="139">
        <v>11200</v>
      </c>
      <c r="N715" s="213" t="s">
        <v>647</v>
      </c>
    </row>
    <row r="716" spans="1:14" ht="15.75" customHeight="1" x14ac:dyDescent="0.25">
      <c r="A716" s="183">
        <v>45890</v>
      </c>
      <c r="B716" s="212" t="s">
        <v>614</v>
      </c>
      <c r="C716" s="184">
        <v>28.5</v>
      </c>
      <c r="D716" s="184">
        <v>9.41</v>
      </c>
      <c r="E716" s="184">
        <v>19.09</v>
      </c>
      <c r="F716" s="212" t="s">
        <v>620</v>
      </c>
      <c r="G716" s="212" t="s">
        <v>638</v>
      </c>
      <c r="H716" s="139">
        <v>1100</v>
      </c>
      <c r="I716" s="139">
        <v>20999</v>
      </c>
      <c r="J716" s="139">
        <v>0</v>
      </c>
      <c r="K716" s="139">
        <v>20999</v>
      </c>
      <c r="L716" s="139">
        <v>0</v>
      </c>
      <c r="M716" s="139">
        <v>20999</v>
      </c>
      <c r="N716" s="213" t="s">
        <v>647</v>
      </c>
    </row>
    <row r="717" spans="1:14" ht="15.75" customHeight="1" x14ac:dyDescent="0.25">
      <c r="A717" s="183">
        <v>45890</v>
      </c>
      <c r="B717" s="212" t="s">
        <v>615</v>
      </c>
      <c r="C717" s="184">
        <v>6.2</v>
      </c>
      <c r="D717" s="184">
        <v>3.23</v>
      </c>
      <c r="E717" s="184">
        <v>2.97</v>
      </c>
      <c r="F717" s="212" t="s">
        <v>619</v>
      </c>
      <c r="G717" s="212" t="s">
        <v>640</v>
      </c>
      <c r="H717" s="139">
        <v>1400</v>
      </c>
      <c r="I717" s="139">
        <v>4158</v>
      </c>
      <c r="J717" s="139">
        <v>0</v>
      </c>
      <c r="K717" s="139">
        <v>4158</v>
      </c>
      <c r="L717" s="139">
        <v>8</v>
      </c>
      <c r="M717" s="139">
        <v>4150</v>
      </c>
      <c r="N717" s="213" t="s">
        <v>648</v>
      </c>
    </row>
    <row r="718" spans="1:14" ht="15.75" customHeight="1" x14ac:dyDescent="0.25">
      <c r="A718" s="183">
        <v>45890</v>
      </c>
      <c r="B718" s="212" t="s">
        <v>610</v>
      </c>
      <c r="C718" s="184">
        <v>29.06</v>
      </c>
      <c r="D718" s="184">
        <v>9.5299999999999994</v>
      </c>
      <c r="E718" s="184">
        <v>19.53</v>
      </c>
      <c r="F718" s="212" t="s">
        <v>620</v>
      </c>
      <c r="G718" s="212" t="s">
        <v>638</v>
      </c>
      <c r="H718" s="139">
        <v>1100</v>
      </c>
      <c r="I718" s="139">
        <v>21483</v>
      </c>
      <c r="J718" s="139">
        <v>0</v>
      </c>
      <c r="K718" s="139">
        <v>21483</v>
      </c>
      <c r="L718" s="139">
        <v>0</v>
      </c>
      <c r="M718" s="139">
        <v>21483</v>
      </c>
      <c r="N718" s="213" t="s">
        <v>647</v>
      </c>
    </row>
    <row r="719" spans="1:14" ht="15.75" customHeight="1" x14ac:dyDescent="0.25">
      <c r="A719" s="183">
        <v>45890</v>
      </c>
      <c r="B719" s="212" t="s">
        <v>608</v>
      </c>
      <c r="C719" s="184">
        <v>29.15</v>
      </c>
      <c r="D719" s="184">
        <v>9.6999999999999993</v>
      </c>
      <c r="E719" s="184">
        <v>19.45</v>
      </c>
      <c r="F719" s="212" t="s">
        <v>620</v>
      </c>
      <c r="G719" s="212" t="s">
        <v>638</v>
      </c>
      <c r="H719" s="139">
        <v>1100</v>
      </c>
      <c r="I719" s="139">
        <v>21395</v>
      </c>
      <c r="J719" s="139">
        <v>0</v>
      </c>
      <c r="K719" s="139">
        <v>21395</v>
      </c>
      <c r="L719" s="139">
        <v>0</v>
      </c>
      <c r="M719" s="139">
        <v>21395</v>
      </c>
      <c r="N719" s="213" t="s">
        <v>647</v>
      </c>
    </row>
    <row r="720" spans="1:14" ht="15.75" customHeight="1" x14ac:dyDescent="0.25">
      <c r="A720" s="183">
        <v>45890</v>
      </c>
      <c r="B720" s="212" t="s">
        <v>611</v>
      </c>
      <c r="C720" s="184">
        <v>28.52</v>
      </c>
      <c r="D720" s="184">
        <v>9.7100000000000009</v>
      </c>
      <c r="E720" s="184">
        <v>18.809999999999999</v>
      </c>
      <c r="F720" s="212" t="s">
        <v>620</v>
      </c>
      <c r="G720" s="212" t="s">
        <v>638</v>
      </c>
      <c r="H720" s="139">
        <v>1100</v>
      </c>
      <c r="I720" s="139">
        <v>20691</v>
      </c>
      <c r="J720" s="139">
        <v>0</v>
      </c>
      <c r="K720" s="139">
        <v>20691</v>
      </c>
      <c r="L720" s="139">
        <v>0</v>
      </c>
      <c r="M720" s="139">
        <v>20691</v>
      </c>
      <c r="N720" s="213" t="s">
        <v>647</v>
      </c>
    </row>
    <row r="721" spans="1:14" ht="15.75" customHeight="1" x14ac:dyDescent="0.25">
      <c r="A721" s="183">
        <v>45890</v>
      </c>
      <c r="B721" s="212" t="s">
        <v>613</v>
      </c>
      <c r="C721" s="184">
        <v>28.43</v>
      </c>
      <c r="D721" s="184">
        <v>9.18</v>
      </c>
      <c r="E721" s="184">
        <v>19.25</v>
      </c>
      <c r="F721" s="212" t="s">
        <v>620</v>
      </c>
      <c r="G721" s="212" t="s">
        <v>638</v>
      </c>
      <c r="H721" s="139">
        <v>1100</v>
      </c>
      <c r="I721" s="139">
        <v>21175</v>
      </c>
      <c r="J721" s="139">
        <v>0</v>
      </c>
      <c r="K721" s="139">
        <v>21175</v>
      </c>
      <c r="L721" s="139">
        <v>0</v>
      </c>
      <c r="M721" s="139">
        <v>21175</v>
      </c>
      <c r="N721" s="213" t="s">
        <v>647</v>
      </c>
    </row>
    <row r="722" spans="1:14" ht="15.75" customHeight="1" x14ac:dyDescent="0.25">
      <c r="A722" s="183">
        <v>45890</v>
      </c>
      <c r="B722" s="212" t="s">
        <v>614</v>
      </c>
      <c r="C722" s="184">
        <v>28.99</v>
      </c>
      <c r="D722" s="184">
        <v>9.43</v>
      </c>
      <c r="E722" s="184">
        <v>19.559999999999999</v>
      </c>
      <c r="F722" s="212" t="s">
        <v>620</v>
      </c>
      <c r="G722" s="212" t="s">
        <v>638</v>
      </c>
      <c r="H722" s="139">
        <v>1100</v>
      </c>
      <c r="I722" s="139">
        <v>21516</v>
      </c>
      <c r="J722" s="139">
        <v>0</v>
      </c>
      <c r="K722" s="139">
        <v>21516</v>
      </c>
      <c r="L722" s="139">
        <v>0</v>
      </c>
      <c r="M722" s="139">
        <v>21516</v>
      </c>
      <c r="N722" s="213" t="s">
        <v>647</v>
      </c>
    </row>
    <row r="723" spans="1:14" ht="15.75" customHeight="1" x14ac:dyDescent="0.25">
      <c r="A723" s="183">
        <v>45890</v>
      </c>
      <c r="B723" s="212" t="s">
        <v>612</v>
      </c>
      <c r="C723" s="184">
        <v>6.31</v>
      </c>
      <c r="D723" s="184">
        <v>2.83</v>
      </c>
      <c r="E723" s="184">
        <v>3.48</v>
      </c>
      <c r="F723" s="212" t="s">
        <v>619</v>
      </c>
      <c r="G723" s="212" t="s">
        <v>641</v>
      </c>
      <c r="H723" s="139">
        <v>1450</v>
      </c>
      <c r="I723" s="139">
        <v>5046</v>
      </c>
      <c r="J723" s="139">
        <v>0</v>
      </c>
      <c r="K723" s="139">
        <v>5046</v>
      </c>
      <c r="L723" s="139">
        <v>46</v>
      </c>
      <c r="M723" s="139">
        <v>5000</v>
      </c>
      <c r="N723" s="213" t="s">
        <v>648</v>
      </c>
    </row>
    <row r="724" spans="1:14" ht="15.75" customHeight="1" x14ac:dyDescent="0.25">
      <c r="A724" s="183">
        <v>45890</v>
      </c>
      <c r="B724" s="212" t="s">
        <v>607</v>
      </c>
      <c r="C724" s="184">
        <v>30.44</v>
      </c>
      <c r="D724" s="184">
        <v>9.48</v>
      </c>
      <c r="E724" s="184">
        <v>20.96</v>
      </c>
      <c r="F724" s="212" t="s">
        <v>621</v>
      </c>
      <c r="G724" s="212" t="s">
        <v>638</v>
      </c>
      <c r="H724" s="139">
        <v>500</v>
      </c>
      <c r="I724" s="139">
        <v>10480</v>
      </c>
      <c r="J724" s="139">
        <v>0</v>
      </c>
      <c r="K724" s="139">
        <v>10480</v>
      </c>
      <c r="L724" s="139">
        <v>0</v>
      </c>
      <c r="M724" s="139">
        <v>10480</v>
      </c>
      <c r="N724" s="213" t="s">
        <v>647</v>
      </c>
    </row>
    <row r="725" spans="1:14" ht="15.75" customHeight="1" x14ac:dyDescent="0.25">
      <c r="A725" s="183">
        <v>45890</v>
      </c>
      <c r="B725" s="212" t="s">
        <v>604</v>
      </c>
      <c r="C725" s="184">
        <v>21.94</v>
      </c>
      <c r="D725" s="184">
        <v>9.5399999999999991</v>
      </c>
      <c r="E725" s="184">
        <v>12.4</v>
      </c>
      <c r="F725" s="212" t="s">
        <v>619</v>
      </c>
      <c r="G725" s="212" t="s">
        <v>627</v>
      </c>
      <c r="H725" s="139">
        <v>1350</v>
      </c>
      <c r="I725" s="139">
        <v>16740</v>
      </c>
      <c r="J725" s="139">
        <v>700</v>
      </c>
      <c r="K725" s="139">
        <v>17440</v>
      </c>
      <c r="L725" s="139">
        <v>0</v>
      </c>
      <c r="M725" s="139">
        <v>17440</v>
      </c>
      <c r="N725" s="213" t="s">
        <v>646</v>
      </c>
    </row>
    <row r="726" spans="1:14" ht="15.75" customHeight="1" x14ac:dyDescent="0.25">
      <c r="A726" s="183">
        <v>45892</v>
      </c>
      <c r="B726" s="212" t="s">
        <v>616</v>
      </c>
      <c r="C726" s="184">
        <v>14.61</v>
      </c>
      <c r="D726" s="184">
        <v>6.34</v>
      </c>
      <c r="E726" s="184">
        <v>8.27</v>
      </c>
      <c r="F726" s="212" t="s">
        <v>619</v>
      </c>
      <c r="G726" s="212" t="s">
        <v>624</v>
      </c>
      <c r="H726" s="139">
        <v>1400</v>
      </c>
      <c r="I726" s="139">
        <v>11578</v>
      </c>
      <c r="J726" s="139">
        <v>0</v>
      </c>
      <c r="K726" s="139">
        <v>11578</v>
      </c>
      <c r="L726" s="139">
        <v>78</v>
      </c>
      <c r="M726" s="139">
        <v>11500</v>
      </c>
      <c r="N726" s="213" t="s">
        <v>646</v>
      </c>
    </row>
    <row r="727" spans="1:14" ht="15.75" customHeight="1" x14ac:dyDescent="0.25">
      <c r="A727" s="183">
        <v>45894</v>
      </c>
      <c r="B727" s="212" t="s">
        <v>617</v>
      </c>
      <c r="C727" s="184">
        <v>28.78</v>
      </c>
      <c r="D727" s="184">
        <v>9.43</v>
      </c>
      <c r="E727" s="184">
        <v>19.350000000000001</v>
      </c>
      <c r="F727" s="212" t="s">
        <v>619</v>
      </c>
      <c r="G727" s="212" t="s">
        <v>642</v>
      </c>
      <c r="H727" s="139">
        <v>1600</v>
      </c>
      <c r="I727" s="139">
        <v>30960</v>
      </c>
      <c r="J727" s="139">
        <v>0</v>
      </c>
      <c r="K727" s="139">
        <v>30960</v>
      </c>
      <c r="L727" s="139">
        <v>0</v>
      </c>
      <c r="M727" s="139">
        <v>30960</v>
      </c>
      <c r="N727" s="213" t="s">
        <v>647</v>
      </c>
    </row>
    <row r="728" spans="1:14" ht="15.75" customHeight="1" x14ac:dyDescent="0.25">
      <c r="A728" s="183">
        <v>45894</v>
      </c>
      <c r="B728" s="212" t="s">
        <v>608</v>
      </c>
      <c r="C728" s="184">
        <v>27.43</v>
      </c>
      <c r="D728" s="184">
        <v>9.2200000000000006</v>
      </c>
      <c r="E728" s="184">
        <v>18.21</v>
      </c>
      <c r="F728" s="212" t="s">
        <v>619</v>
      </c>
      <c r="G728" s="212" t="s">
        <v>642</v>
      </c>
      <c r="H728" s="139">
        <v>1600</v>
      </c>
      <c r="I728" s="139">
        <v>29136</v>
      </c>
      <c r="J728" s="139">
        <v>0</v>
      </c>
      <c r="K728" s="139">
        <v>29136</v>
      </c>
      <c r="L728" s="139">
        <v>0</v>
      </c>
      <c r="M728" s="139">
        <v>29136</v>
      </c>
      <c r="N728" s="213" t="s">
        <v>647</v>
      </c>
    </row>
    <row r="729" spans="1:14" ht="15.75" customHeight="1" x14ac:dyDescent="0.25">
      <c r="A729" s="183">
        <v>45895</v>
      </c>
      <c r="B729" s="212" t="s">
        <v>615</v>
      </c>
      <c r="C729" s="184">
        <v>7.22</v>
      </c>
      <c r="D729" s="184">
        <v>3.07</v>
      </c>
      <c r="E729" s="184">
        <v>4.1500000000000004</v>
      </c>
      <c r="F729" s="212" t="s">
        <v>619</v>
      </c>
      <c r="G729" s="212" t="s">
        <v>643</v>
      </c>
      <c r="H729" s="139">
        <v>1450</v>
      </c>
      <c r="I729" s="139">
        <v>6017.5</v>
      </c>
      <c r="J729" s="139">
        <v>0</v>
      </c>
      <c r="K729" s="139">
        <v>6017.5</v>
      </c>
      <c r="L729" s="139">
        <v>17.5</v>
      </c>
      <c r="M729" s="139">
        <v>6000</v>
      </c>
      <c r="N729" s="213" t="s">
        <v>648</v>
      </c>
    </row>
    <row r="730" spans="1:14" ht="15.75" customHeight="1" x14ac:dyDescent="0.25">
      <c r="A730" s="183">
        <v>45897</v>
      </c>
      <c r="B730" s="212" t="s">
        <v>617</v>
      </c>
      <c r="C730" s="184">
        <v>29.16</v>
      </c>
      <c r="D730" s="184">
        <v>9.48</v>
      </c>
      <c r="E730" s="184">
        <v>19.68</v>
      </c>
      <c r="F730" s="212" t="s">
        <v>623</v>
      </c>
      <c r="G730" s="212" t="s">
        <v>630</v>
      </c>
      <c r="H730" s="139">
        <v>1365</v>
      </c>
      <c r="I730" s="139">
        <v>26863.200000000001</v>
      </c>
      <c r="J730" s="139">
        <v>0</v>
      </c>
      <c r="K730" s="139">
        <v>26863.200000000001</v>
      </c>
      <c r="L730" s="139">
        <v>0</v>
      </c>
      <c r="M730" s="139">
        <v>26863.200000000001</v>
      </c>
      <c r="N730" s="213" t="s">
        <v>647</v>
      </c>
    </row>
    <row r="731" spans="1:14" ht="15.75" customHeight="1" x14ac:dyDescent="0.25">
      <c r="A731" s="183">
        <v>45897</v>
      </c>
      <c r="B731" s="212" t="s">
        <v>617</v>
      </c>
      <c r="C731" s="184">
        <v>30.69</v>
      </c>
      <c r="D731" s="184">
        <v>9.33</v>
      </c>
      <c r="E731" s="184">
        <v>21.36</v>
      </c>
      <c r="F731" s="212" t="s">
        <v>623</v>
      </c>
      <c r="G731" s="212" t="s">
        <v>630</v>
      </c>
      <c r="H731" s="139">
        <v>1365</v>
      </c>
      <c r="I731" s="139">
        <v>29156.400000000001</v>
      </c>
      <c r="J731" s="139">
        <v>0</v>
      </c>
      <c r="K731" s="139">
        <v>29156.400000000001</v>
      </c>
      <c r="L731" s="139">
        <v>0</v>
      </c>
      <c r="M731" s="139">
        <v>29156.400000000001</v>
      </c>
      <c r="N731" s="213" t="s">
        <v>647</v>
      </c>
    </row>
    <row r="732" spans="1:14" ht="15.75" customHeight="1" x14ac:dyDescent="0.25">
      <c r="A732" s="183">
        <v>45899</v>
      </c>
      <c r="B732" s="212" t="s">
        <v>607</v>
      </c>
      <c r="C732" s="184">
        <v>23.33</v>
      </c>
      <c r="D732" s="184">
        <v>9.75</v>
      </c>
      <c r="E732" s="184">
        <v>13.58</v>
      </c>
      <c r="F732" s="212" t="s">
        <v>619</v>
      </c>
      <c r="G732" s="212" t="s">
        <v>644</v>
      </c>
      <c r="H732" s="139">
        <v>1400</v>
      </c>
      <c r="I732" s="139">
        <v>19012</v>
      </c>
      <c r="J732" s="139">
        <v>1000</v>
      </c>
      <c r="K732" s="139">
        <v>20012</v>
      </c>
      <c r="L732" s="139">
        <v>12</v>
      </c>
      <c r="M732" s="139">
        <v>20000</v>
      </c>
      <c r="N732" s="213" t="s">
        <v>646</v>
      </c>
    </row>
    <row r="733" spans="1:14" ht="15.75" customHeight="1" x14ac:dyDescent="0.25">
      <c r="A733" s="183">
        <v>45899</v>
      </c>
      <c r="B733" s="212" t="s">
        <v>618</v>
      </c>
      <c r="C733" s="184">
        <v>13.87</v>
      </c>
      <c r="D733" s="184">
        <v>6.47</v>
      </c>
      <c r="E733" s="184">
        <v>7.4</v>
      </c>
      <c r="F733" s="212" t="s">
        <v>619</v>
      </c>
      <c r="G733" s="212" t="s">
        <v>645</v>
      </c>
      <c r="H733" s="139">
        <v>1250</v>
      </c>
      <c r="I733" s="139">
        <v>9250</v>
      </c>
      <c r="J733" s="139">
        <v>0</v>
      </c>
      <c r="K733" s="139">
        <v>9250</v>
      </c>
      <c r="L733" s="139">
        <v>0</v>
      </c>
      <c r="M733" s="139">
        <v>9250</v>
      </c>
      <c r="N733" s="213" t="s">
        <v>647</v>
      </c>
    </row>
    <row r="734" spans="1:14" ht="15.75" customHeight="1" thickBot="1" x14ac:dyDescent="0.3">
      <c r="A734" s="214">
        <v>45899</v>
      </c>
      <c r="B734" s="215" t="s">
        <v>607</v>
      </c>
      <c r="C734" s="206">
        <v>16.73</v>
      </c>
      <c r="D734" s="206">
        <v>9.56</v>
      </c>
      <c r="E734" s="206">
        <v>7.17</v>
      </c>
      <c r="F734" s="215" t="s">
        <v>622</v>
      </c>
      <c r="G734" s="215" t="s">
        <v>627</v>
      </c>
      <c r="H734" s="146">
        <v>1200</v>
      </c>
      <c r="I734" s="146">
        <v>8604</v>
      </c>
      <c r="J734" s="146">
        <v>700</v>
      </c>
      <c r="K734" s="146">
        <v>9304</v>
      </c>
      <c r="L734" s="146">
        <v>4</v>
      </c>
      <c r="M734" s="146">
        <v>9300</v>
      </c>
      <c r="N734" s="216" t="s">
        <v>646</v>
      </c>
    </row>
    <row r="735" spans="1:14" ht="15.75" customHeight="1" thickBot="1" x14ac:dyDescent="0.3">
      <c r="A735" s="473" t="s">
        <v>83</v>
      </c>
      <c r="B735" s="474"/>
      <c r="C735" s="200">
        <f>SUM(C663:C734)</f>
        <v>1749.8999999999996</v>
      </c>
      <c r="D735" s="200">
        <f>SUM(D663:D734)</f>
        <v>606.41999999999985</v>
      </c>
      <c r="E735" s="200">
        <f>SUM(E663:E734)</f>
        <v>1143.48</v>
      </c>
      <c r="F735" s="201"/>
      <c r="G735" s="201"/>
      <c r="H735" s="172">
        <f>SUM(H663:H734)</f>
        <v>86000</v>
      </c>
      <c r="I735" s="172">
        <f t="shared" ref="I735:M735" si="34">SUM(I663:I734)</f>
        <v>1308640.0999999999</v>
      </c>
      <c r="J735" s="172">
        <f t="shared" si="34"/>
        <v>10900</v>
      </c>
      <c r="K735" s="172">
        <f t="shared" si="34"/>
        <v>1319540.0999999999</v>
      </c>
      <c r="L735" s="172">
        <f t="shared" si="34"/>
        <v>492</v>
      </c>
      <c r="M735" s="172">
        <f t="shared" si="34"/>
        <v>1319048.0999999999</v>
      </c>
      <c r="N735" s="202"/>
    </row>
    <row r="736" spans="1:14" ht="15.75" customHeight="1" x14ac:dyDescent="0.25">
      <c r="A736" s="210"/>
      <c r="B736" s="210"/>
      <c r="C736" s="210"/>
      <c r="D736" s="210"/>
      <c r="E736" s="210"/>
      <c r="F736" s="210"/>
      <c r="G736" s="210"/>
      <c r="H736" s="210"/>
      <c r="I736" s="210"/>
      <c r="J736" s="210"/>
      <c r="K736" s="210"/>
      <c r="L736" s="210"/>
      <c r="M736" s="210"/>
      <c r="N736" s="210"/>
    </row>
    <row r="737" spans="1:17" ht="33" thickBot="1" x14ac:dyDescent="0.3">
      <c r="A737" s="455" t="s">
        <v>574</v>
      </c>
      <c r="B737" s="456"/>
      <c r="C737" s="456"/>
      <c r="D737" s="456"/>
      <c r="E737" s="456"/>
      <c r="F737" s="456"/>
      <c r="G737" s="456"/>
      <c r="H737" s="456"/>
      <c r="I737" s="456"/>
      <c r="J737" s="456"/>
      <c r="K737" s="456"/>
      <c r="L737" s="456"/>
      <c r="M737" s="456"/>
      <c r="N737" s="456"/>
    </row>
    <row r="738" spans="1:17" ht="15.75" customHeight="1" thickBot="1" x14ac:dyDescent="0.3">
      <c r="A738" s="176" t="s">
        <v>1</v>
      </c>
      <c r="B738" s="177" t="s">
        <v>2</v>
      </c>
      <c r="C738" s="177" t="s">
        <v>3</v>
      </c>
      <c r="D738" s="177" t="s">
        <v>4</v>
      </c>
      <c r="E738" s="177" t="s">
        <v>5</v>
      </c>
      <c r="F738" s="177" t="s">
        <v>6</v>
      </c>
      <c r="G738" s="177" t="s">
        <v>7</v>
      </c>
      <c r="H738" s="177" t="s">
        <v>8</v>
      </c>
      <c r="I738" s="177" t="s">
        <v>9</v>
      </c>
      <c r="J738" s="177" t="s">
        <v>10</v>
      </c>
      <c r="K738" s="177" t="s">
        <v>11</v>
      </c>
      <c r="L738" s="177" t="s">
        <v>12</v>
      </c>
      <c r="M738" s="177" t="s">
        <v>13</v>
      </c>
      <c r="N738" s="178" t="s">
        <v>14</v>
      </c>
      <c r="P738" s="221" t="s">
        <v>649</v>
      </c>
      <c r="Q738" s="222" t="s">
        <v>650</v>
      </c>
    </row>
    <row r="739" spans="1:17" ht="15.75" customHeight="1" x14ac:dyDescent="0.25">
      <c r="A739" s="179">
        <v>45901</v>
      </c>
      <c r="B739" s="180" t="s">
        <v>67</v>
      </c>
      <c r="C739" s="180">
        <v>29.64</v>
      </c>
      <c r="D739" s="180">
        <v>9.4499999999999993</v>
      </c>
      <c r="E739" s="180">
        <f>C739-D739</f>
        <v>20.190000000000001</v>
      </c>
      <c r="F739" s="180" t="s">
        <v>26</v>
      </c>
      <c r="G739" s="180" t="s">
        <v>57</v>
      </c>
      <c r="H739" s="181">
        <v>1365</v>
      </c>
      <c r="I739" s="181">
        <f>H739*E739</f>
        <v>27559.350000000002</v>
      </c>
      <c r="J739" s="181">
        <v>0</v>
      </c>
      <c r="K739" s="181">
        <f t="shared" ref="K739:K802" si="35">I739+J739</f>
        <v>27559.350000000002</v>
      </c>
      <c r="L739" s="181">
        <v>0</v>
      </c>
      <c r="M739" s="181">
        <f t="shared" ref="M739:M802" si="36">K739-L739</f>
        <v>27559.350000000002</v>
      </c>
      <c r="N739" s="182" t="s">
        <v>575</v>
      </c>
      <c r="P739" s="223" t="s">
        <v>651</v>
      </c>
      <c r="Q739" s="224">
        <v>573.52</v>
      </c>
    </row>
    <row r="740" spans="1:17" ht="15.75" customHeight="1" x14ac:dyDescent="0.25">
      <c r="A740" s="183">
        <v>45901</v>
      </c>
      <c r="B740" s="184" t="s">
        <v>67</v>
      </c>
      <c r="C740" s="184">
        <v>28.42</v>
      </c>
      <c r="D740" s="184">
        <v>10.31</v>
      </c>
      <c r="E740" s="184">
        <f t="shared" ref="E740:E803" si="37">C740-D740</f>
        <v>18.11</v>
      </c>
      <c r="F740" s="184" t="s">
        <v>26</v>
      </c>
      <c r="G740" s="184" t="s">
        <v>57</v>
      </c>
      <c r="H740" s="139">
        <v>1365</v>
      </c>
      <c r="I740" s="139">
        <f t="shared" ref="I740:I803" si="38">H740*E740</f>
        <v>24720.149999999998</v>
      </c>
      <c r="J740" s="139">
        <v>0</v>
      </c>
      <c r="K740" s="139">
        <f t="shared" si="35"/>
        <v>24720.149999999998</v>
      </c>
      <c r="L740" s="139">
        <v>0</v>
      </c>
      <c r="M740" s="139">
        <f t="shared" si="36"/>
        <v>24720.149999999998</v>
      </c>
      <c r="N740" s="185" t="s">
        <v>575</v>
      </c>
      <c r="P740" s="225" t="s">
        <v>652</v>
      </c>
      <c r="Q740" s="226">
        <v>192.86</v>
      </c>
    </row>
    <row r="741" spans="1:17" ht="15.75" customHeight="1" x14ac:dyDescent="0.25">
      <c r="A741" s="183">
        <v>45902</v>
      </c>
      <c r="B741" s="184" t="s">
        <v>49</v>
      </c>
      <c r="C741" s="184">
        <v>32.090000000000003</v>
      </c>
      <c r="D741" s="184">
        <v>9.49</v>
      </c>
      <c r="E741" s="184">
        <f t="shared" si="37"/>
        <v>22.6</v>
      </c>
      <c r="F741" s="184" t="s">
        <v>38</v>
      </c>
      <c r="G741" s="184" t="s">
        <v>576</v>
      </c>
      <c r="H741" s="139">
        <v>500</v>
      </c>
      <c r="I741" s="139">
        <f t="shared" si="38"/>
        <v>11300</v>
      </c>
      <c r="J741" s="139">
        <v>0</v>
      </c>
      <c r="K741" s="139">
        <f t="shared" si="35"/>
        <v>11300</v>
      </c>
      <c r="L741" s="139">
        <v>0</v>
      </c>
      <c r="M741" s="139">
        <f t="shared" si="36"/>
        <v>11300</v>
      </c>
      <c r="N741" s="185" t="s">
        <v>575</v>
      </c>
      <c r="P741" s="225" t="s">
        <v>653</v>
      </c>
      <c r="Q741" s="226">
        <v>0</v>
      </c>
    </row>
    <row r="742" spans="1:17" ht="15.75" customHeight="1" x14ac:dyDescent="0.25">
      <c r="A742" s="183">
        <v>45902</v>
      </c>
      <c r="B742" s="184" t="s">
        <v>88</v>
      </c>
      <c r="C742" s="184">
        <v>32.340000000000003</v>
      </c>
      <c r="D742" s="184">
        <v>9.4499999999999993</v>
      </c>
      <c r="E742" s="184">
        <f t="shared" si="37"/>
        <v>22.890000000000004</v>
      </c>
      <c r="F742" s="184" t="s">
        <v>38</v>
      </c>
      <c r="G742" s="184" t="s">
        <v>576</v>
      </c>
      <c r="H742" s="139">
        <v>500</v>
      </c>
      <c r="I742" s="139">
        <f t="shared" si="38"/>
        <v>11445.000000000002</v>
      </c>
      <c r="J742" s="139">
        <v>0</v>
      </c>
      <c r="K742" s="139">
        <f t="shared" si="35"/>
        <v>11445.000000000002</v>
      </c>
      <c r="L742" s="139">
        <v>0</v>
      </c>
      <c r="M742" s="139">
        <f t="shared" si="36"/>
        <v>11445.000000000002</v>
      </c>
      <c r="N742" s="185" t="s">
        <v>575</v>
      </c>
      <c r="P742" s="225" t="s">
        <v>654</v>
      </c>
      <c r="Q742" s="226">
        <v>0</v>
      </c>
    </row>
    <row r="743" spans="1:17" ht="15.75" customHeight="1" x14ac:dyDescent="0.25">
      <c r="A743" s="183">
        <v>45902</v>
      </c>
      <c r="B743" s="184" t="s">
        <v>577</v>
      </c>
      <c r="C743" s="184">
        <v>30.21</v>
      </c>
      <c r="D743" s="184">
        <v>9.59</v>
      </c>
      <c r="E743" s="184">
        <f t="shared" si="37"/>
        <v>20.62</v>
      </c>
      <c r="F743" s="184" t="s">
        <v>38</v>
      </c>
      <c r="G743" s="184" t="s">
        <v>576</v>
      </c>
      <c r="H743" s="139">
        <v>500</v>
      </c>
      <c r="I743" s="139">
        <f t="shared" si="38"/>
        <v>10310</v>
      </c>
      <c r="J743" s="139">
        <v>0</v>
      </c>
      <c r="K743" s="139">
        <f t="shared" si="35"/>
        <v>10310</v>
      </c>
      <c r="L743" s="139">
        <v>0</v>
      </c>
      <c r="M743" s="139">
        <f t="shared" si="36"/>
        <v>10310</v>
      </c>
      <c r="N743" s="185" t="s">
        <v>575</v>
      </c>
      <c r="P743" s="225" t="s">
        <v>655</v>
      </c>
      <c r="Q743" s="226">
        <v>483.66</v>
      </c>
    </row>
    <row r="744" spans="1:17" ht="15.75" customHeight="1" thickBot="1" x14ac:dyDescent="0.3">
      <c r="A744" s="163">
        <v>45906</v>
      </c>
      <c r="B744" s="184" t="s">
        <v>67</v>
      </c>
      <c r="C744" s="184">
        <v>26.84</v>
      </c>
      <c r="D744" s="184">
        <v>9.6999999999999993</v>
      </c>
      <c r="E744" s="184">
        <f t="shared" si="37"/>
        <v>17.14</v>
      </c>
      <c r="F744" s="184" t="s">
        <v>35</v>
      </c>
      <c r="G744" s="184" t="s">
        <v>576</v>
      </c>
      <c r="H744" s="139">
        <v>1100</v>
      </c>
      <c r="I744" s="139">
        <f t="shared" si="38"/>
        <v>18854</v>
      </c>
      <c r="J744" s="139">
        <v>0</v>
      </c>
      <c r="K744" s="139">
        <f t="shared" si="35"/>
        <v>18854</v>
      </c>
      <c r="L744" s="139">
        <v>0</v>
      </c>
      <c r="M744" s="139">
        <f t="shared" si="36"/>
        <v>18854</v>
      </c>
      <c r="N744" s="185" t="s">
        <v>575</v>
      </c>
      <c r="P744" s="227" t="s">
        <v>656</v>
      </c>
      <c r="Q744" s="228">
        <v>309.23</v>
      </c>
    </row>
    <row r="745" spans="1:17" ht="15.75" customHeight="1" x14ac:dyDescent="0.25">
      <c r="A745" s="163">
        <v>45906</v>
      </c>
      <c r="B745" s="184" t="s">
        <v>67</v>
      </c>
      <c r="C745" s="184">
        <v>19.75</v>
      </c>
      <c r="D745" s="184">
        <v>9.74</v>
      </c>
      <c r="E745" s="184">
        <f t="shared" si="37"/>
        <v>10.01</v>
      </c>
      <c r="F745" s="184" t="s">
        <v>23</v>
      </c>
      <c r="G745" s="184" t="s">
        <v>578</v>
      </c>
      <c r="H745" s="139">
        <v>1350</v>
      </c>
      <c r="I745" s="139">
        <f t="shared" si="38"/>
        <v>13513.5</v>
      </c>
      <c r="J745" s="139">
        <v>500</v>
      </c>
      <c r="K745" s="139">
        <f t="shared" si="35"/>
        <v>14013.5</v>
      </c>
      <c r="L745" s="139">
        <v>13.5</v>
      </c>
      <c r="M745" s="139">
        <f t="shared" si="36"/>
        <v>14000</v>
      </c>
      <c r="N745" s="185" t="s">
        <v>579</v>
      </c>
    </row>
    <row r="746" spans="1:17" ht="15.75" customHeight="1" x14ac:dyDescent="0.25">
      <c r="A746" s="183">
        <v>45907</v>
      </c>
      <c r="B746" s="184" t="s">
        <v>67</v>
      </c>
      <c r="C746" s="184">
        <v>32.1</v>
      </c>
      <c r="D746" s="184">
        <v>9.44</v>
      </c>
      <c r="E746" s="184">
        <f t="shared" si="37"/>
        <v>22.660000000000004</v>
      </c>
      <c r="F746" s="184" t="s">
        <v>35</v>
      </c>
      <c r="G746" s="184" t="s">
        <v>576</v>
      </c>
      <c r="H746" s="139">
        <v>1100</v>
      </c>
      <c r="I746" s="139">
        <f t="shared" si="38"/>
        <v>24926.000000000004</v>
      </c>
      <c r="J746" s="139">
        <v>0</v>
      </c>
      <c r="K746" s="139">
        <f t="shared" si="35"/>
        <v>24926.000000000004</v>
      </c>
      <c r="L746" s="139">
        <v>0</v>
      </c>
      <c r="M746" s="139">
        <f t="shared" si="36"/>
        <v>24926.000000000004</v>
      </c>
      <c r="N746" s="185" t="s">
        <v>575</v>
      </c>
    </row>
    <row r="747" spans="1:17" ht="15.75" customHeight="1" x14ac:dyDescent="0.25">
      <c r="A747" s="183">
        <v>45907</v>
      </c>
      <c r="B747" s="184" t="s">
        <v>67</v>
      </c>
      <c r="C747" s="184">
        <v>30.77</v>
      </c>
      <c r="D747" s="184">
        <v>9.85</v>
      </c>
      <c r="E747" s="184">
        <f t="shared" si="37"/>
        <v>20.92</v>
      </c>
      <c r="F747" s="184" t="s">
        <v>38</v>
      </c>
      <c r="G747" s="184" t="s">
        <v>576</v>
      </c>
      <c r="H747" s="139">
        <v>500</v>
      </c>
      <c r="I747" s="139">
        <f t="shared" si="38"/>
        <v>10460</v>
      </c>
      <c r="J747" s="139">
        <v>0</v>
      </c>
      <c r="K747" s="139">
        <f t="shared" si="35"/>
        <v>10460</v>
      </c>
      <c r="L747" s="139">
        <v>0</v>
      </c>
      <c r="M747" s="139">
        <f t="shared" si="36"/>
        <v>10460</v>
      </c>
      <c r="N747" s="185" t="s">
        <v>575</v>
      </c>
    </row>
    <row r="748" spans="1:17" ht="15.75" customHeight="1" x14ac:dyDescent="0.25">
      <c r="A748" s="183">
        <v>45908</v>
      </c>
      <c r="B748" s="184" t="s">
        <v>67</v>
      </c>
      <c r="C748" s="184">
        <v>33.86</v>
      </c>
      <c r="D748" s="184">
        <v>9.6</v>
      </c>
      <c r="E748" s="184">
        <f t="shared" si="37"/>
        <v>24.259999999999998</v>
      </c>
      <c r="F748" s="184" t="s">
        <v>38</v>
      </c>
      <c r="G748" s="184" t="s">
        <v>576</v>
      </c>
      <c r="H748" s="139">
        <v>500</v>
      </c>
      <c r="I748" s="139">
        <f t="shared" si="38"/>
        <v>12129.999999999998</v>
      </c>
      <c r="J748" s="139">
        <v>0</v>
      </c>
      <c r="K748" s="139">
        <f t="shared" si="35"/>
        <v>12129.999999999998</v>
      </c>
      <c r="L748" s="139">
        <v>0</v>
      </c>
      <c r="M748" s="139">
        <f t="shared" si="36"/>
        <v>12129.999999999998</v>
      </c>
      <c r="N748" s="185" t="s">
        <v>575</v>
      </c>
    </row>
    <row r="749" spans="1:17" ht="15.75" customHeight="1" x14ac:dyDescent="0.25">
      <c r="A749" s="183">
        <v>45908</v>
      </c>
      <c r="B749" s="184" t="s">
        <v>51</v>
      </c>
      <c r="C749" s="184">
        <v>28.33</v>
      </c>
      <c r="D749" s="184">
        <v>9.3000000000000007</v>
      </c>
      <c r="E749" s="184">
        <f t="shared" si="37"/>
        <v>19.029999999999998</v>
      </c>
      <c r="F749" s="184" t="s">
        <v>35</v>
      </c>
      <c r="G749" s="184" t="s">
        <v>576</v>
      </c>
      <c r="H749" s="139">
        <v>1100</v>
      </c>
      <c r="I749" s="139">
        <f t="shared" si="38"/>
        <v>20932.999999999996</v>
      </c>
      <c r="J749" s="139">
        <v>0</v>
      </c>
      <c r="K749" s="139">
        <f t="shared" si="35"/>
        <v>20932.999999999996</v>
      </c>
      <c r="L749" s="139">
        <v>0</v>
      </c>
      <c r="M749" s="139">
        <f t="shared" si="36"/>
        <v>20932.999999999996</v>
      </c>
      <c r="N749" s="185" t="s">
        <v>575</v>
      </c>
    </row>
    <row r="750" spans="1:17" ht="15.75" customHeight="1" x14ac:dyDescent="0.25">
      <c r="A750" s="183">
        <v>45908</v>
      </c>
      <c r="B750" s="184" t="s">
        <v>67</v>
      </c>
      <c r="C750" s="184">
        <v>31.94</v>
      </c>
      <c r="D750" s="184">
        <v>9.34</v>
      </c>
      <c r="E750" s="184">
        <f t="shared" si="37"/>
        <v>22.6</v>
      </c>
      <c r="F750" s="184" t="s">
        <v>38</v>
      </c>
      <c r="G750" s="184" t="s">
        <v>576</v>
      </c>
      <c r="H750" s="139">
        <v>500</v>
      </c>
      <c r="I750" s="139">
        <f t="shared" si="38"/>
        <v>11300</v>
      </c>
      <c r="J750" s="139">
        <v>0</v>
      </c>
      <c r="K750" s="139">
        <f t="shared" si="35"/>
        <v>11300</v>
      </c>
      <c r="L750" s="139">
        <v>0</v>
      </c>
      <c r="M750" s="139">
        <f t="shared" si="36"/>
        <v>11300</v>
      </c>
      <c r="N750" s="185" t="s">
        <v>575</v>
      </c>
    </row>
    <row r="751" spans="1:17" ht="15.75" customHeight="1" x14ac:dyDescent="0.25">
      <c r="A751" s="183">
        <v>45908</v>
      </c>
      <c r="B751" s="184" t="s">
        <v>51</v>
      </c>
      <c r="C751" s="184">
        <v>29.51</v>
      </c>
      <c r="D751" s="184">
        <v>9.75</v>
      </c>
      <c r="E751" s="184">
        <f t="shared" si="37"/>
        <v>19.760000000000002</v>
      </c>
      <c r="F751" s="184" t="s">
        <v>35</v>
      </c>
      <c r="G751" s="184" t="s">
        <v>576</v>
      </c>
      <c r="H751" s="139">
        <v>1100</v>
      </c>
      <c r="I751" s="139">
        <f t="shared" si="38"/>
        <v>21736</v>
      </c>
      <c r="J751" s="139">
        <v>0</v>
      </c>
      <c r="K751" s="139">
        <f t="shared" si="35"/>
        <v>21736</v>
      </c>
      <c r="L751" s="139">
        <v>0</v>
      </c>
      <c r="M751" s="139">
        <f t="shared" si="36"/>
        <v>21736</v>
      </c>
      <c r="N751" s="185" t="s">
        <v>575</v>
      </c>
    </row>
    <row r="752" spans="1:17" ht="15.75" customHeight="1" x14ac:dyDescent="0.25">
      <c r="A752" s="183">
        <v>45908</v>
      </c>
      <c r="B752" s="184" t="s">
        <v>92</v>
      </c>
      <c r="C752" s="184">
        <v>7.03</v>
      </c>
      <c r="D752" s="184">
        <v>3.22</v>
      </c>
      <c r="E752" s="184">
        <f t="shared" si="37"/>
        <v>3.81</v>
      </c>
      <c r="F752" s="184" t="s">
        <v>23</v>
      </c>
      <c r="G752" s="184" t="s">
        <v>580</v>
      </c>
      <c r="H752" s="139">
        <v>1400</v>
      </c>
      <c r="I752" s="139">
        <f t="shared" si="38"/>
        <v>5334</v>
      </c>
      <c r="J752" s="139">
        <v>0</v>
      </c>
      <c r="K752" s="139">
        <f t="shared" si="35"/>
        <v>5334</v>
      </c>
      <c r="L752" s="139">
        <v>34</v>
      </c>
      <c r="M752" s="139">
        <f t="shared" si="36"/>
        <v>5300</v>
      </c>
      <c r="N752" s="185" t="s">
        <v>25</v>
      </c>
    </row>
    <row r="753" spans="1:14" ht="15.75" customHeight="1" x14ac:dyDescent="0.25">
      <c r="A753" s="183">
        <v>45909</v>
      </c>
      <c r="B753" s="184" t="s">
        <v>51</v>
      </c>
      <c r="C753" s="184">
        <v>28.78</v>
      </c>
      <c r="D753" s="184">
        <v>9.52</v>
      </c>
      <c r="E753" s="184">
        <f t="shared" si="37"/>
        <v>19.260000000000002</v>
      </c>
      <c r="F753" s="184" t="s">
        <v>38</v>
      </c>
      <c r="G753" s="184" t="s">
        <v>576</v>
      </c>
      <c r="H753" s="139">
        <v>500</v>
      </c>
      <c r="I753" s="139">
        <f t="shared" si="38"/>
        <v>9630</v>
      </c>
      <c r="J753" s="139">
        <v>0</v>
      </c>
      <c r="K753" s="139">
        <f t="shared" si="35"/>
        <v>9630</v>
      </c>
      <c r="L753" s="139">
        <v>0</v>
      </c>
      <c r="M753" s="139">
        <f t="shared" si="36"/>
        <v>9630</v>
      </c>
      <c r="N753" s="185" t="s">
        <v>575</v>
      </c>
    </row>
    <row r="754" spans="1:14" ht="15.75" customHeight="1" x14ac:dyDescent="0.25">
      <c r="A754" s="183">
        <v>45909</v>
      </c>
      <c r="B754" s="184" t="s">
        <v>88</v>
      </c>
      <c r="C754" s="184">
        <v>28.69</v>
      </c>
      <c r="D754" s="184">
        <v>9.34</v>
      </c>
      <c r="E754" s="184">
        <f t="shared" si="37"/>
        <v>19.350000000000001</v>
      </c>
      <c r="F754" s="184" t="s">
        <v>35</v>
      </c>
      <c r="G754" s="184" t="s">
        <v>581</v>
      </c>
      <c r="H754" s="139">
        <v>1250</v>
      </c>
      <c r="I754" s="139">
        <f t="shared" si="38"/>
        <v>24187.5</v>
      </c>
      <c r="J754" s="139">
        <v>3500</v>
      </c>
      <c r="K754" s="139">
        <f t="shared" si="35"/>
        <v>27687.5</v>
      </c>
      <c r="L754" s="139">
        <v>0</v>
      </c>
      <c r="M754" s="139">
        <f t="shared" si="36"/>
        <v>27687.5</v>
      </c>
      <c r="N754" s="185" t="s">
        <v>25</v>
      </c>
    </row>
    <row r="755" spans="1:14" ht="15.75" customHeight="1" x14ac:dyDescent="0.25">
      <c r="A755" s="183">
        <v>45909</v>
      </c>
      <c r="B755" s="184" t="s">
        <v>49</v>
      </c>
      <c r="C755" s="184">
        <v>26.16</v>
      </c>
      <c r="D755" s="184">
        <v>9.61</v>
      </c>
      <c r="E755" s="184">
        <f t="shared" si="37"/>
        <v>16.55</v>
      </c>
      <c r="F755" s="184" t="s">
        <v>35</v>
      </c>
      <c r="G755" s="184" t="s">
        <v>576</v>
      </c>
      <c r="H755" s="139">
        <v>1100</v>
      </c>
      <c r="I755" s="139">
        <f t="shared" si="38"/>
        <v>18205</v>
      </c>
      <c r="J755" s="139">
        <v>0</v>
      </c>
      <c r="K755" s="139">
        <f t="shared" si="35"/>
        <v>18205</v>
      </c>
      <c r="L755" s="139">
        <v>0</v>
      </c>
      <c r="M755" s="139">
        <f t="shared" si="36"/>
        <v>18205</v>
      </c>
      <c r="N755" s="185" t="s">
        <v>575</v>
      </c>
    </row>
    <row r="756" spans="1:14" ht="15.75" customHeight="1" x14ac:dyDescent="0.25">
      <c r="A756" s="183">
        <v>45909</v>
      </c>
      <c r="B756" s="184" t="s">
        <v>67</v>
      </c>
      <c r="C756" s="184">
        <v>25.98</v>
      </c>
      <c r="D756" s="184">
        <v>9.85</v>
      </c>
      <c r="E756" s="184">
        <f t="shared" si="37"/>
        <v>16.130000000000003</v>
      </c>
      <c r="F756" s="184" t="s">
        <v>35</v>
      </c>
      <c r="G756" s="184" t="s">
        <v>581</v>
      </c>
      <c r="H756" s="139">
        <v>1250</v>
      </c>
      <c r="I756" s="139">
        <f t="shared" si="38"/>
        <v>20162.500000000004</v>
      </c>
      <c r="J756" s="139">
        <v>3500</v>
      </c>
      <c r="K756" s="139">
        <f t="shared" si="35"/>
        <v>23662.500000000004</v>
      </c>
      <c r="L756" s="139">
        <v>0</v>
      </c>
      <c r="M756" s="139">
        <f t="shared" si="36"/>
        <v>23662.500000000004</v>
      </c>
      <c r="N756" s="185" t="s">
        <v>25</v>
      </c>
    </row>
    <row r="757" spans="1:14" ht="15.75" customHeight="1" x14ac:dyDescent="0.25">
      <c r="A757" s="183">
        <v>45909</v>
      </c>
      <c r="B757" s="184" t="s">
        <v>49</v>
      </c>
      <c r="C757" s="184">
        <v>26.43</v>
      </c>
      <c r="D757" s="184">
        <v>9.24</v>
      </c>
      <c r="E757" s="184">
        <f t="shared" si="37"/>
        <v>17.189999999999998</v>
      </c>
      <c r="F757" s="184" t="s">
        <v>38</v>
      </c>
      <c r="G757" s="184" t="s">
        <v>576</v>
      </c>
      <c r="H757" s="139">
        <v>500</v>
      </c>
      <c r="I757" s="139">
        <f t="shared" si="38"/>
        <v>8594.9999999999982</v>
      </c>
      <c r="J757" s="139">
        <v>0</v>
      </c>
      <c r="K757" s="139">
        <f t="shared" si="35"/>
        <v>8594.9999999999982</v>
      </c>
      <c r="L757" s="139">
        <v>0</v>
      </c>
      <c r="M757" s="139">
        <f t="shared" si="36"/>
        <v>8594.9999999999982</v>
      </c>
      <c r="N757" s="185" t="s">
        <v>575</v>
      </c>
    </row>
    <row r="758" spans="1:14" ht="15.75" customHeight="1" x14ac:dyDescent="0.25">
      <c r="A758" s="183">
        <v>45909</v>
      </c>
      <c r="B758" s="184" t="s">
        <v>40</v>
      </c>
      <c r="C758" s="184">
        <v>6.77</v>
      </c>
      <c r="D758" s="184">
        <v>2.9</v>
      </c>
      <c r="E758" s="184">
        <f t="shared" si="37"/>
        <v>3.8699999999999997</v>
      </c>
      <c r="F758" s="184" t="s">
        <v>23</v>
      </c>
      <c r="G758" s="184" t="s">
        <v>582</v>
      </c>
      <c r="H758" s="139">
        <v>1450</v>
      </c>
      <c r="I758" s="139">
        <f t="shared" si="38"/>
        <v>5611.4999999999991</v>
      </c>
      <c r="J758" s="139">
        <v>0</v>
      </c>
      <c r="K758" s="139">
        <f t="shared" si="35"/>
        <v>5611.4999999999991</v>
      </c>
      <c r="L758" s="139">
        <v>11.5</v>
      </c>
      <c r="M758" s="139">
        <f t="shared" si="36"/>
        <v>5599.9999999999991</v>
      </c>
      <c r="N758" s="185" t="s">
        <v>579</v>
      </c>
    </row>
    <row r="759" spans="1:14" ht="15.75" customHeight="1" x14ac:dyDescent="0.25">
      <c r="A759" s="183">
        <v>45909</v>
      </c>
      <c r="B759" s="184" t="s">
        <v>88</v>
      </c>
      <c r="C759" s="184">
        <v>28.13</v>
      </c>
      <c r="D759" s="184">
        <v>9.24</v>
      </c>
      <c r="E759" s="184">
        <f t="shared" si="37"/>
        <v>18.89</v>
      </c>
      <c r="F759" s="184" t="s">
        <v>35</v>
      </c>
      <c r="G759" s="184" t="s">
        <v>576</v>
      </c>
      <c r="H759" s="139">
        <v>1100</v>
      </c>
      <c r="I759" s="139">
        <f t="shared" si="38"/>
        <v>20779</v>
      </c>
      <c r="J759" s="139">
        <v>0</v>
      </c>
      <c r="K759" s="139">
        <f t="shared" si="35"/>
        <v>20779</v>
      </c>
      <c r="L759" s="139">
        <v>0</v>
      </c>
      <c r="M759" s="139">
        <f t="shared" si="36"/>
        <v>20779</v>
      </c>
      <c r="N759" s="185" t="s">
        <v>575</v>
      </c>
    </row>
    <row r="760" spans="1:14" ht="15.75" customHeight="1" x14ac:dyDescent="0.25">
      <c r="A760" s="183">
        <v>45910</v>
      </c>
      <c r="B760" s="184" t="s">
        <v>49</v>
      </c>
      <c r="C760" s="184">
        <v>28.99</v>
      </c>
      <c r="D760" s="184">
        <v>9.6</v>
      </c>
      <c r="E760" s="184">
        <f t="shared" si="37"/>
        <v>19.39</v>
      </c>
      <c r="F760" s="184" t="s">
        <v>38</v>
      </c>
      <c r="G760" s="184" t="s">
        <v>576</v>
      </c>
      <c r="H760" s="139">
        <v>500</v>
      </c>
      <c r="I760" s="139">
        <f t="shared" si="38"/>
        <v>9695</v>
      </c>
      <c r="J760" s="139">
        <v>0</v>
      </c>
      <c r="K760" s="139">
        <f t="shared" si="35"/>
        <v>9695</v>
      </c>
      <c r="L760" s="139">
        <v>0</v>
      </c>
      <c r="M760" s="139">
        <f t="shared" si="36"/>
        <v>9695</v>
      </c>
      <c r="N760" s="185" t="s">
        <v>575</v>
      </c>
    </row>
    <row r="761" spans="1:14" ht="15.75" customHeight="1" x14ac:dyDescent="0.25">
      <c r="A761" s="183">
        <v>45910</v>
      </c>
      <c r="B761" s="184" t="s">
        <v>88</v>
      </c>
      <c r="C761" s="184">
        <v>28.43</v>
      </c>
      <c r="D761" s="184">
        <v>9.83</v>
      </c>
      <c r="E761" s="184">
        <f t="shared" si="37"/>
        <v>18.600000000000001</v>
      </c>
      <c r="F761" s="184" t="s">
        <v>38</v>
      </c>
      <c r="G761" s="184" t="s">
        <v>576</v>
      </c>
      <c r="H761" s="139">
        <v>500</v>
      </c>
      <c r="I761" s="139">
        <f t="shared" si="38"/>
        <v>9300</v>
      </c>
      <c r="J761" s="139">
        <v>0</v>
      </c>
      <c r="K761" s="139">
        <f t="shared" si="35"/>
        <v>9300</v>
      </c>
      <c r="L761" s="139">
        <v>0</v>
      </c>
      <c r="M761" s="139">
        <f t="shared" si="36"/>
        <v>9300</v>
      </c>
      <c r="N761" s="185" t="s">
        <v>575</v>
      </c>
    </row>
    <row r="762" spans="1:14" ht="15.75" customHeight="1" x14ac:dyDescent="0.25">
      <c r="A762" s="183">
        <v>45910</v>
      </c>
      <c r="B762" s="184" t="s">
        <v>577</v>
      </c>
      <c r="C762" s="184">
        <v>28.06</v>
      </c>
      <c r="D762" s="184">
        <v>9.5</v>
      </c>
      <c r="E762" s="184">
        <f t="shared" si="37"/>
        <v>18.559999999999999</v>
      </c>
      <c r="F762" s="184" t="s">
        <v>38</v>
      </c>
      <c r="G762" s="184" t="s">
        <v>576</v>
      </c>
      <c r="H762" s="139">
        <v>500</v>
      </c>
      <c r="I762" s="139">
        <f t="shared" si="38"/>
        <v>9280</v>
      </c>
      <c r="J762" s="139">
        <v>0</v>
      </c>
      <c r="K762" s="139">
        <f t="shared" si="35"/>
        <v>9280</v>
      </c>
      <c r="L762" s="139">
        <v>0</v>
      </c>
      <c r="M762" s="139">
        <f t="shared" si="36"/>
        <v>9280</v>
      </c>
      <c r="N762" s="185" t="s">
        <v>575</v>
      </c>
    </row>
    <row r="763" spans="1:14" ht="15.75" customHeight="1" x14ac:dyDescent="0.25">
      <c r="A763" s="183">
        <v>45910</v>
      </c>
      <c r="B763" s="184" t="s">
        <v>51</v>
      </c>
      <c r="C763" s="184">
        <v>28.59</v>
      </c>
      <c r="D763" s="184">
        <v>9.17</v>
      </c>
      <c r="E763" s="184">
        <f t="shared" si="37"/>
        <v>19.420000000000002</v>
      </c>
      <c r="F763" s="184" t="s">
        <v>38</v>
      </c>
      <c r="G763" s="184" t="s">
        <v>576</v>
      </c>
      <c r="H763" s="139">
        <v>500</v>
      </c>
      <c r="I763" s="139">
        <f t="shared" si="38"/>
        <v>9710</v>
      </c>
      <c r="J763" s="139">
        <v>0</v>
      </c>
      <c r="K763" s="139">
        <f t="shared" si="35"/>
        <v>9710</v>
      </c>
      <c r="L763" s="139">
        <v>0</v>
      </c>
      <c r="M763" s="139">
        <f t="shared" si="36"/>
        <v>9710</v>
      </c>
      <c r="N763" s="185" t="s">
        <v>575</v>
      </c>
    </row>
    <row r="764" spans="1:14" ht="15.75" customHeight="1" x14ac:dyDescent="0.25">
      <c r="A764" s="183">
        <v>45910</v>
      </c>
      <c r="B764" s="184" t="s">
        <v>67</v>
      </c>
      <c r="C764" s="184">
        <v>30.5</v>
      </c>
      <c r="D764" s="184">
        <v>9.6199999999999992</v>
      </c>
      <c r="E764" s="184">
        <f t="shared" si="37"/>
        <v>20.880000000000003</v>
      </c>
      <c r="F764" s="184" t="s">
        <v>35</v>
      </c>
      <c r="G764" s="184" t="s">
        <v>576</v>
      </c>
      <c r="H764" s="139">
        <v>1100</v>
      </c>
      <c r="I764" s="139">
        <f t="shared" si="38"/>
        <v>22968.000000000004</v>
      </c>
      <c r="J764" s="139">
        <v>0</v>
      </c>
      <c r="K764" s="139">
        <f t="shared" si="35"/>
        <v>22968.000000000004</v>
      </c>
      <c r="L764" s="139">
        <v>0</v>
      </c>
      <c r="M764" s="139">
        <f t="shared" si="36"/>
        <v>22968.000000000004</v>
      </c>
      <c r="N764" s="185" t="s">
        <v>575</v>
      </c>
    </row>
    <row r="765" spans="1:14" ht="15.75" customHeight="1" x14ac:dyDescent="0.25">
      <c r="A765" s="183">
        <v>45910</v>
      </c>
      <c r="B765" s="184" t="s">
        <v>88</v>
      </c>
      <c r="C765" s="184">
        <v>28.51</v>
      </c>
      <c r="D765" s="184">
        <v>9.3800000000000008</v>
      </c>
      <c r="E765" s="184">
        <f t="shared" si="37"/>
        <v>19.130000000000003</v>
      </c>
      <c r="F765" s="184" t="s">
        <v>35</v>
      </c>
      <c r="G765" s="184" t="s">
        <v>576</v>
      </c>
      <c r="H765" s="139">
        <v>1100</v>
      </c>
      <c r="I765" s="139">
        <f t="shared" si="38"/>
        <v>21043.000000000004</v>
      </c>
      <c r="J765" s="139">
        <v>0</v>
      </c>
      <c r="K765" s="139">
        <f t="shared" si="35"/>
        <v>21043.000000000004</v>
      </c>
      <c r="L765" s="139">
        <v>0</v>
      </c>
      <c r="M765" s="139">
        <f t="shared" si="36"/>
        <v>21043.000000000004</v>
      </c>
      <c r="N765" s="185" t="s">
        <v>575</v>
      </c>
    </row>
    <row r="766" spans="1:14" ht="15.75" customHeight="1" x14ac:dyDescent="0.25">
      <c r="A766" s="183">
        <v>45910</v>
      </c>
      <c r="B766" s="184" t="s">
        <v>49</v>
      </c>
      <c r="C766" s="184">
        <v>29.01</v>
      </c>
      <c r="D766" s="184">
        <v>9.32</v>
      </c>
      <c r="E766" s="184">
        <f t="shared" si="37"/>
        <v>19.690000000000001</v>
      </c>
      <c r="F766" s="184" t="s">
        <v>35</v>
      </c>
      <c r="G766" s="184" t="s">
        <v>576</v>
      </c>
      <c r="H766" s="139">
        <v>1100</v>
      </c>
      <c r="I766" s="139">
        <f t="shared" si="38"/>
        <v>21659</v>
      </c>
      <c r="J766" s="139">
        <v>0</v>
      </c>
      <c r="K766" s="139">
        <f t="shared" si="35"/>
        <v>21659</v>
      </c>
      <c r="L766" s="139">
        <v>0</v>
      </c>
      <c r="M766" s="139">
        <f t="shared" si="36"/>
        <v>21659</v>
      </c>
      <c r="N766" s="185" t="s">
        <v>575</v>
      </c>
    </row>
    <row r="767" spans="1:14" ht="15.75" customHeight="1" x14ac:dyDescent="0.25">
      <c r="A767" s="183">
        <v>45910</v>
      </c>
      <c r="B767" s="145" t="s">
        <v>58</v>
      </c>
      <c r="C767" s="184">
        <v>27.27</v>
      </c>
      <c r="D767" s="184">
        <v>9.4</v>
      </c>
      <c r="E767" s="184">
        <v>15.83</v>
      </c>
      <c r="F767" s="184" t="s">
        <v>23</v>
      </c>
      <c r="G767" s="184" t="s">
        <v>583</v>
      </c>
      <c r="H767" s="139">
        <v>1350</v>
      </c>
      <c r="I767" s="139">
        <f t="shared" si="38"/>
        <v>21370.5</v>
      </c>
      <c r="J767" s="139">
        <v>0</v>
      </c>
      <c r="K767" s="139">
        <f t="shared" si="35"/>
        <v>21370.5</v>
      </c>
      <c r="L767" s="139">
        <v>0</v>
      </c>
      <c r="M767" s="139">
        <f t="shared" si="36"/>
        <v>21370.5</v>
      </c>
      <c r="N767" s="185" t="s">
        <v>575</v>
      </c>
    </row>
    <row r="768" spans="1:14" ht="15.75" customHeight="1" x14ac:dyDescent="0.25">
      <c r="A768" s="183">
        <v>45910</v>
      </c>
      <c r="B768" s="184" t="s">
        <v>577</v>
      </c>
      <c r="C768" s="184">
        <v>29.59</v>
      </c>
      <c r="D768" s="184">
        <v>9.7899999999999991</v>
      </c>
      <c r="E768" s="184">
        <f t="shared" si="37"/>
        <v>19.8</v>
      </c>
      <c r="F768" s="184" t="s">
        <v>35</v>
      </c>
      <c r="G768" s="184" t="s">
        <v>576</v>
      </c>
      <c r="H768" s="139">
        <v>1100</v>
      </c>
      <c r="I768" s="139">
        <f t="shared" si="38"/>
        <v>21780</v>
      </c>
      <c r="J768" s="139">
        <v>0</v>
      </c>
      <c r="K768" s="139">
        <f t="shared" si="35"/>
        <v>21780</v>
      </c>
      <c r="L768" s="139">
        <v>0</v>
      </c>
      <c r="M768" s="139">
        <f t="shared" si="36"/>
        <v>21780</v>
      </c>
      <c r="N768" s="185" t="s">
        <v>575</v>
      </c>
    </row>
    <row r="769" spans="1:14" ht="15.75" customHeight="1" x14ac:dyDescent="0.25">
      <c r="A769" s="183">
        <v>45910</v>
      </c>
      <c r="B769" s="184" t="s">
        <v>51</v>
      </c>
      <c r="C769" s="184">
        <v>28.4</v>
      </c>
      <c r="D769" s="184">
        <v>9.52</v>
      </c>
      <c r="E769" s="184">
        <f t="shared" si="37"/>
        <v>18.88</v>
      </c>
      <c r="F769" s="184" t="s">
        <v>38</v>
      </c>
      <c r="G769" s="184" t="s">
        <v>576</v>
      </c>
      <c r="H769" s="139">
        <v>500</v>
      </c>
      <c r="I769" s="139">
        <f t="shared" si="38"/>
        <v>9440</v>
      </c>
      <c r="J769" s="139">
        <v>0</v>
      </c>
      <c r="K769" s="139">
        <f t="shared" si="35"/>
        <v>9440</v>
      </c>
      <c r="L769" s="139">
        <v>0</v>
      </c>
      <c r="M769" s="139">
        <f t="shared" si="36"/>
        <v>9440</v>
      </c>
      <c r="N769" s="185" t="s">
        <v>575</v>
      </c>
    </row>
    <row r="770" spans="1:14" ht="15.75" customHeight="1" x14ac:dyDescent="0.25">
      <c r="A770" s="183">
        <v>45910</v>
      </c>
      <c r="B770" s="184" t="s">
        <v>67</v>
      </c>
      <c r="C770" s="184">
        <v>29.98</v>
      </c>
      <c r="D770" s="184">
        <v>9.6</v>
      </c>
      <c r="E770" s="184">
        <f t="shared" si="37"/>
        <v>20.380000000000003</v>
      </c>
      <c r="F770" s="184" t="s">
        <v>23</v>
      </c>
      <c r="G770" s="184" t="s">
        <v>584</v>
      </c>
      <c r="H770" s="139">
        <v>1450</v>
      </c>
      <c r="I770" s="139">
        <f t="shared" si="38"/>
        <v>29551.000000000004</v>
      </c>
      <c r="J770" s="139">
        <v>1000</v>
      </c>
      <c r="K770" s="139">
        <f t="shared" si="35"/>
        <v>30551.000000000004</v>
      </c>
      <c r="L770" s="139">
        <v>51</v>
      </c>
      <c r="M770" s="139">
        <f t="shared" si="36"/>
        <v>30500.000000000004</v>
      </c>
      <c r="N770" s="185" t="s">
        <v>25</v>
      </c>
    </row>
    <row r="771" spans="1:14" ht="15.75" customHeight="1" x14ac:dyDescent="0.25">
      <c r="A771" s="183">
        <v>45911</v>
      </c>
      <c r="B771" s="184" t="s">
        <v>51</v>
      </c>
      <c r="C771" s="184">
        <v>27.03</v>
      </c>
      <c r="D771" s="184">
        <v>9.52</v>
      </c>
      <c r="E771" s="184">
        <f t="shared" si="37"/>
        <v>17.510000000000002</v>
      </c>
      <c r="F771" s="184" t="s">
        <v>38</v>
      </c>
      <c r="G771" s="184" t="s">
        <v>576</v>
      </c>
      <c r="H771" s="139">
        <v>500</v>
      </c>
      <c r="I771" s="139">
        <f t="shared" si="38"/>
        <v>8755</v>
      </c>
      <c r="J771" s="139">
        <v>0</v>
      </c>
      <c r="K771" s="139">
        <f t="shared" si="35"/>
        <v>8755</v>
      </c>
      <c r="L771" s="139">
        <v>0</v>
      </c>
      <c r="M771" s="139">
        <f t="shared" si="36"/>
        <v>8755</v>
      </c>
      <c r="N771" s="185" t="s">
        <v>575</v>
      </c>
    </row>
    <row r="772" spans="1:14" ht="15.75" customHeight="1" x14ac:dyDescent="0.25">
      <c r="A772" s="183">
        <v>45911</v>
      </c>
      <c r="B772" s="184" t="s">
        <v>49</v>
      </c>
      <c r="C772" s="184">
        <v>27.59</v>
      </c>
      <c r="D772" s="184">
        <v>9.51</v>
      </c>
      <c r="E772" s="184">
        <f t="shared" si="37"/>
        <v>18.079999999999998</v>
      </c>
      <c r="F772" s="184" t="s">
        <v>38</v>
      </c>
      <c r="G772" s="184" t="s">
        <v>576</v>
      </c>
      <c r="H772" s="139">
        <v>500</v>
      </c>
      <c r="I772" s="139">
        <f t="shared" si="38"/>
        <v>9040</v>
      </c>
      <c r="J772" s="139">
        <v>0</v>
      </c>
      <c r="K772" s="139">
        <f t="shared" si="35"/>
        <v>9040</v>
      </c>
      <c r="L772" s="139">
        <v>0</v>
      </c>
      <c r="M772" s="139">
        <f t="shared" si="36"/>
        <v>9040</v>
      </c>
      <c r="N772" s="185" t="s">
        <v>575</v>
      </c>
    </row>
    <row r="773" spans="1:14" ht="15.75" customHeight="1" x14ac:dyDescent="0.25">
      <c r="A773" s="183">
        <v>45911</v>
      </c>
      <c r="B773" s="184" t="s">
        <v>88</v>
      </c>
      <c r="C773" s="184">
        <v>28.63</v>
      </c>
      <c r="D773" s="184">
        <v>9.49</v>
      </c>
      <c r="E773" s="184">
        <f t="shared" si="37"/>
        <v>19.14</v>
      </c>
      <c r="F773" s="184" t="s">
        <v>38</v>
      </c>
      <c r="G773" s="184" t="s">
        <v>576</v>
      </c>
      <c r="H773" s="139">
        <v>500</v>
      </c>
      <c r="I773" s="139">
        <f t="shared" si="38"/>
        <v>9570</v>
      </c>
      <c r="J773" s="139">
        <v>0</v>
      </c>
      <c r="K773" s="139">
        <f t="shared" si="35"/>
        <v>9570</v>
      </c>
      <c r="L773" s="139">
        <v>0</v>
      </c>
      <c r="M773" s="139">
        <f t="shared" si="36"/>
        <v>9570</v>
      </c>
      <c r="N773" s="185" t="s">
        <v>575</v>
      </c>
    </row>
    <row r="774" spans="1:14" ht="15.75" customHeight="1" x14ac:dyDescent="0.25">
      <c r="A774" s="183">
        <v>45911</v>
      </c>
      <c r="B774" s="184" t="s">
        <v>577</v>
      </c>
      <c r="C774" s="184">
        <v>29.06</v>
      </c>
      <c r="D774" s="184">
        <v>9.74</v>
      </c>
      <c r="E774" s="184">
        <f t="shared" si="37"/>
        <v>19.32</v>
      </c>
      <c r="F774" s="184" t="s">
        <v>38</v>
      </c>
      <c r="G774" s="184" t="s">
        <v>576</v>
      </c>
      <c r="H774" s="139">
        <v>500</v>
      </c>
      <c r="I774" s="139">
        <f t="shared" si="38"/>
        <v>9660</v>
      </c>
      <c r="J774" s="139">
        <v>0</v>
      </c>
      <c r="K774" s="139">
        <f t="shared" si="35"/>
        <v>9660</v>
      </c>
      <c r="L774" s="139">
        <v>0</v>
      </c>
      <c r="M774" s="139">
        <f t="shared" si="36"/>
        <v>9660</v>
      </c>
      <c r="N774" s="185" t="s">
        <v>575</v>
      </c>
    </row>
    <row r="775" spans="1:14" ht="15.75" customHeight="1" x14ac:dyDescent="0.25">
      <c r="A775" s="183">
        <v>45911</v>
      </c>
      <c r="B775" s="184" t="s">
        <v>67</v>
      </c>
      <c r="C775" s="184">
        <v>31.4</v>
      </c>
      <c r="D775" s="184">
        <v>9.33</v>
      </c>
      <c r="E775" s="184">
        <f t="shared" si="37"/>
        <v>22.07</v>
      </c>
      <c r="F775" s="184" t="s">
        <v>23</v>
      </c>
      <c r="G775" s="184" t="s">
        <v>43</v>
      </c>
      <c r="H775" s="139">
        <v>1600</v>
      </c>
      <c r="I775" s="139">
        <f t="shared" si="38"/>
        <v>35312</v>
      </c>
      <c r="J775" s="139">
        <v>0</v>
      </c>
      <c r="K775" s="139">
        <f t="shared" si="35"/>
        <v>35312</v>
      </c>
      <c r="L775" s="139">
        <v>0</v>
      </c>
      <c r="M775" s="139">
        <f t="shared" si="36"/>
        <v>35312</v>
      </c>
      <c r="N775" s="185" t="s">
        <v>575</v>
      </c>
    </row>
    <row r="776" spans="1:14" ht="15.75" customHeight="1" x14ac:dyDescent="0.25">
      <c r="A776" s="183">
        <v>45911</v>
      </c>
      <c r="B776" s="184" t="s">
        <v>96</v>
      </c>
      <c r="C776" s="184">
        <v>14.57</v>
      </c>
      <c r="D776" s="184">
        <v>6.19</v>
      </c>
      <c r="E776" s="184">
        <f t="shared" si="37"/>
        <v>8.379999999999999</v>
      </c>
      <c r="F776" s="184" t="s">
        <v>23</v>
      </c>
      <c r="G776" s="184" t="s">
        <v>184</v>
      </c>
      <c r="H776" s="139">
        <v>1400</v>
      </c>
      <c r="I776" s="139">
        <f t="shared" si="38"/>
        <v>11731.999999999998</v>
      </c>
      <c r="J776" s="139">
        <v>0</v>
      </c>
      <c r="K776" s="139">
        <f t="shared" si="35"/>
        <v>11731.999999999998</v>
      </c>
      <c r="L776" s="139">
        <v>32</v>
      </c>
      <c r="M776" s="139">
        <f t="shared" si="36"/>
        <v>11699.999999999998</v>
      </c>
      <c r="N776" s="185" t="s">
        <v>25</v>
      </c>
    </row>
    <row r="777" spans="1:14" ht="15.75" customHeight="1" x14ac:dyDescent="0.25">
      <c r="A777" s="183">
        <v>45911</v>
      </c>
      <c r="B777" s="184" t="s">
        <v>67</v>
      </c>
      <c r="C777" s="184">
        <v>32.49</v>
      </c>
      <c r="D777" s="184">
        <v>9.51</v>
      </c>
      <c r="E777" s="184">
        <f t="shared" si="37"/>
        <v>22.980000000000004</v>
      </c>
      <c r="F777" s="184" t="s">
        <v>38</v>
      </c>
      <c r="G777" s="184" t="s">
        <v>576</v>
      </c>
      <c r="H777" s="139">
        <v>500</v>
      </c>
      <c r="I777" s="139">
        <f t="shared" si="38"/>
        <v>11490.000000000002</v>
      </c>
      <c r="J777" s="139">
        <v>0</v>
      </c>
      <c r="K777" s="139">
        <f t="shared" si="35"/>
        <v>11490.000000000002</v>
      </c>
      <c r="L777" s="139">
        <v>0</v>
      </c>
      <c r="M777" s="139">
        <f t="shared" si="36"/>
        <v>11490.000000000002</v>
      </c>
      <c r="N777" s="185" t="s">
        <v>575</v>
      </c>
    </row>
    <row r="778" spans="1:14" ht="15.75" customHeight="1" x14ac:dyDescent="0.25">
      <c r="A778" s="183">
        <v>45912</v>
      </c>
      <c r="B778" s="184" t="s">
        <v>577</v>
      </c>
      <c r="C778" s="184">
        <v>29.74</v>
      </c>
      <c r="D778" s="184">
        <v>9.64</v>
      </c>
      <c r="E778" s="184">
        <f t="shared" si="37"/>
        <v>20.099999999999998</v>
      </c>
      <c r="F778" s="184" t="s">
        <v>26</v>
      </c>
      <c r="G778" s="184" t="s">
        <v>48</v>
      </c>
      <c r="H778" s="139">
        <v>1225</v>
      </c>
      <c r="I778" s="139">
        <f t="shared" si="38"/>
        <v>24622.499999999996</v>
      </c>
      <c r="J778" s="139">
        <v>0</v>
      </c>
      <c r="K778" s="139">
        <f t="shared" si="35"/>
        <v>24622.499999999996</v>
      </c>
      <c r="L778" s="139">
        <v>0</v>
      </c>
      <c r="M778" s="139">
        <f t="shared" si="36"/>
        <v>24622.499999999996</v>
      </c>
      <c r="N778" s="185" t="s">
        <v>575</v>
      </c>
    </row>
    <row r="779" spans="1:14" ht="15.75" customHeight="1" x14ac:dyDescent="0.25">
      <c r="A779" s="183">
        <v>45912</v>
      </c>
      <c r="B779" s="184" t="s">
        <v>49</v>
      </c>
      <c r="C779" s="184">
        <v>30.17</v>
      </c>
      <c r="D779" s="184">
        <v>9.23</v>
      </c>
      <c r="E779" s="184">
        <f t="shared" si="37"/>
        <v>20.94</v>
      </c>
      <c r="F779" s="184" t="s">
        <v>26</v>
      </c>
      <c r="G779" s="184" t="s">
        <v>48</v>
      </c>
      <c r="H779" s="139">
        <v>1225</v>
      </c>
      <c r="I779" s="139">
        <f t="shared" si="38"/>
        <v>25651.5</v>
      </c>
      <c r="J779" s="139">
        <v>0</v>
      </c>
      <c r="K779" s="139">
        <f t="shared" si="35"/>
        <v>25651.5</v>
      </c>
      <c r="L779" s="139">
        <v>0</v>
      </c>
      <c r="M779" s="139">
        <f t="shared" si="36"/>
        <v>25651.5</v>
      </c>
      <c r="N779" s="185" t="s">
        <v>575</v>
      </c>
    </row>
    <row r="780" spans="1:14" ht="15.75" customHeight="1" x14ac:dyDescent="0.25">
      <c r="A780" s="183">
        <v>45912</v>
      </c>
      <c r="B780" s="184" t="s">
        <v>88</v>
      </c>
      <c r="C780" s="184">
        <v>29.79</v>
      </c>
      <c r="D780" s="184">
        <v>9.75</v>
      </c>
      <c r="E780" s="184">
        <f t="shared" si="37"/>
        <v>20.04</v>
      </c>
      <c r="F780" s="184" t="s">
        <v>26</v>
      </c>
      <c r="G780" s="184" t="s">
        <v>48</v>
      </c>
      <c r="H780" s="139">
        <v>1225</v>
      </c>
      <c r="I780" s="139">
        <f t="shared" si="38"/>
        <v>24549</v>
      </c>
      <c r="J780" s="139">
        <v>0</v>
      </c>
      <c r="K780" s="139">
        <f t="shared" si="35"/>
        <v>24549</v>
      </c>
      <c r="L780" s="139">
        <v>0</v>
      </c>
      <c r="M780" s="139">
        <f t="shared" si="36"/>
        <v>24549</v>
      </c>
      <c r="N780" s="185" t="s">
        <v>575</v>
      </c>
    </row>
    <row r="781" spans="1:14" ht="15.75" customHeight="1" x14ac:dyDescent="0.25">
      <c r="A781" s="183">
        <v>45912</v>
      </c>
      <c r="B781" s="184" t="s">
        <v>67</v>
      </c>
      <c r="C781" s="184">
        <v>31.88</v>
      </c>
      <c r="D781" s="184">
        <v>9.39</v>
      </c>
      <c r="E781" s="184">
        <f t="shared" si="37"/>
        <v>22.49</v>
      </c>
      <c r="F781" s="184" t="s">
        <v>35</v>
      </c>
      <c r="G781" s="184" t="s">
        <v>585</v>
      </c>
      <c r="H781" s="139">
        <v>1250</v>
      </c>
      <c r="I781" s="139">
        <f t="shared" si="38"/>
        <v>28112.499999999996</v>
      </c>
      <c r="J781" s="139">
        <v>2000</v>
      </c>
      <c r="K781" s="139">
        <f t="shared" si="35"/>
        <v>30112.499999999996</v>
      </c>
      <c r="L781" s="139">
        <v>12.5</v>
      </c>
      <c r="M781" s="139">
        <f t="shared" si="36"/>
        <v>30099.999999999996</v>
      </c>
      <c r="N781" s="185" t="s">
        <v>579</v>
      </c>
    </row>
    <row r="782" spans="1:14" ht="15.75" customHeight="1" x14ac:dyDescent="0.25">
      <c r="A782" s="163">
        <v>45913</v>
      </c>
      <c r="B782" s="184" t="s">
        <v>67</v>
      </c>
      <c r="C782" s="184">
        <v>30.61</v>
      </c>
      <c r="D782" s="184">
        <v>9.27</v>
      </c>
      <c r="E782" s="184">
        <f t="shared" si="37"/>
        <v>21.34</v>
      </c>
      <c r="F782" s="184" t="s">
        <v>38</v>
      </c>
      <c r="G782" s="184" t="s">
        <v>586</v>
      </c>
      <c r="H782" s="139">
        <v>500</v>
      </c>
      <c r="I782" s="139">
        <f t="shared" si="38"/>
        <v>10670</v>
      </c>
      <c r="J782" s="139">
        <v>0</v>
      </c>
      <c r="K782" s="139">
        <f t="shared" si="35"/>
        <v>10670</v>
      </c>
      <c r="L782" s="139">
        <v>0</v>
      </c>
      <c r="M782" s="139">
        <f t="shared" si="36"/>
        <v>10670</v>
      </c>
      <c r="N782" s="185" t="s">
        <v>575</v>
      </c>
    </row>
    <row r="783" spans="1:14" ht="15.75" customHeight="1" x14ac:dyDescent="0.25">
      <c r="A783" s="163">
        <v>45913</v>
      </c>
      <c r="B783" s="184" t="s">
        <v>40</v>
      </c>
      <c r="C783" s="184">
        <v>6.51</v>
      </c>
      <c r="D783" s="184">
        <v>3.04</v>
      </c>
      <c r="E783" s="184">
        <f t="shared" si="37"/>
        <v>3.4699999999999998</v>
      </c>
      <c r="F783" s="184" t="s">
        <v>23</v>
      </c>
      <c r="G783" s="184" t="s">
        <v>582</v>
      </c>
      <c r="H783" s="139">
        <v>1450</v>
      </c>
      <c r="I783" s="139">
        <f t="shared" si="38"/>
        <v>5031.5</v>
      </c>
      <c r="J783" s="139">
        <v>0</v>
      </c>
      <c r="K783" s="139">
        <f t="shared" si="35"/>
        <v>5031.5</v>
      </c>
      <c r="L783" s="139">
        <v>31.5</v>
      </c>
      <c r="M783" s="139">
        <f t="shared" si="36"/>
        <v>5000</v>
      </c>
      <c r="N783" s="185" t="s">
        <v>579</v>
      </c>
    </row>
    <row r="784" spans="1:14" ht="15.75" customHeight="1" x14ac:dyDescent="0.25">
      <c r="A784" s="163">
        <v>45914</v>
      </c>
      <c r="B784" s="184" t="s">
        <v>587</v>
      </c>
      <c r="C784" s="184">
        <v>3.33</v>
      </c>
      <c r="D784" s="184">
        <v>2.33</v>
      </c>
      <c r="E784" s="184">
        <f t="shared" si="37"/>
        <v>1</v>
      </c>
      <c r="F784" s="184" t="s">
        <v>23</v>
      </c>
      <c r="G784" s="184" t="s">
        <v>184</v>
      </c>
      <c r="H784" s="139">
        <v>1400</v>
      </c>
      <c r="I784" s="139">
        <f t="shared" si="38"/>
        <v>1400</v>
      </c>
      <c r="J784" s="139">
        <v>0</v>
      </c>
      <c r="K784" s="139">
        <f t="shared" si="35"/>
        <v>1400</v>
      </c>
      <c r="L784" s="139">
        <v>0</v>
      </c>
      <c r="M784" s="139">
        <f t="shared" si="36"/>
        <v>1400</v>
      </c>
      <c r="N784" s="185" t="s">
        <v>25</v>
      </c>
    </row>
    <row r="785" spans="1:14" ht="15.75" customHeight="1" x14ac:dyDescent="0.25">
      <c r="A785" s="183">
        <v>45915</v>
      </c>
      <c r="B785" s="184" t="s">
        <v>88</v>
      </c>
      <c r="C785" s="184">
        <v>29.9</v>
      </c>
      <c r="D785" s="184">
        <v>9.4600000000000009</v>
      </c>
      <c r="E785" s="184">
        <f t="shared" si="37"/>
        <v>20.439999999999998</v>
      </c>
      <c r="F785" s="184" t="s">
        <v>26</v>
      </c>
      <c r="G785" s="184" t="s">
        <v>48</v>
      </c>
      <c r="H785" s="139">
        <v>1225</v>
      </c>
      <c r="I785" s="139">
        <f t="shared" si="38"/>
        <v>25038.999999999996</v>
      </c>
      <c r="J785" s="139">
        <v>0</v>
      </c>
      <c r="K785" s="139">
        <f t="shared" si="35"/>
        <v>25038.999999999996</v>
      </c>
      <c r="L785" s="139">
        <v>0</v>
      </c>
      <c r="M785" s="139">
        <f t="shared" si="36"/>
        <v>25038.999999999996</v>
      </c>
      <c r="N785" s="185" t="s">
        <v>575</v>
      </c>
    </row>
    <row r="786" spans="1:14" ht="15.75" customHeight="1" x14ac:dyDescent="0.25">
      <c r="A786" s="183">
        <v>45915</v>
      </c>
      <c r="B786" s="184" t="s">
        <v>88</v>
      </c>
      <c r="C786" s="184">
        <v>31.42</v>
      </c>
      <c r="D786" s="184">
        <v>9.4</v>
      </c>
      <c r="E786" s="184">
        <f t="shared" si="37"/>
        <v>22.020000000000003</v>
      </c>
      <c r="F786" s="184" t="s">
        <v>35</v>
      </c>
      <c r="G786" s="184" t="s">
        <v>576</v>
      </c>
      <c r="H786" s="139">
        <v>1100</v>
      </c>
      <c r="I786" s="139">
        <f t="shared" si="38"/>
        <v>24222.000000000004</v>
      </c>
      <c r="J786" s="139">
        <v>0</v>
      </c>
      <c r="K786" s="139">
        <f t="shared" si="35"/>
        <v>24222.000000000004</v>
      </c>
      <c r="L786" s="139">
        <v>0</v>
      </c>
      <c r="M786" s="139">
        <f t="shared" si="36"/>
        <v>24222.000000000004</v>
      </c>
      <c r="N786" s="185" t="s">
        <v>575</v>
      </c>
    </row>
    <row r="787" spans="1:14" ht="15.75" customHeight="1" x14ac:dyDescent="0.25">
      <c r="A787" s="183">
        <v>45916</v>
      </c>
      <c r="B787" s="184" t="s">
        <v>49</v>
      </c>
      <c r="C787" s="184">
        <v>30.41</v>
      </c>
      <c r="D787" s="184">
        <v>9.64</v>
      </c>
      <c r="E787" s="184">
        <f t="shared" si="37"/>
        <v>20.77</v>
      </c>
      <c r="F787" s="184" t="s">
        <v>23</v>
      </c>
      <c r="G787" s="184" t="s">
        <v>576</v>
      </c>
      <c r="H787" s="139">
        <v>1300</v>
      </c>
      <c r="I787" s="139">
        <f t="shared" si="38"/>
        <v>27001</v>
      </c>
      <c r="J787" s="139">
        <v>0</v>
      </c>
      <c r="K787" s="139">
        <f t="shared" si="35"/>
        <v>27001</v>
      </c>
      <c r="L787" s="139">
        <v>0</v>
      </c>
      <c r="M787" s="139">
        <f t="shared" si="36"/>
        <v>27001</v>
      </c>
      <c r="N787" s="185" t="s">
        <v>575</v>
      </c>
    </row>
    <row r="788" spans="1:14" ht="15.75" customHeight="1" x14ac:dyDescent="0.25">
      <c r="A788" s="183">
        <v>45916</v>
      </c>
      <c r="B788" s="184" t="s">
        <v>88</v>
      </c>
      <c r="C788" s="184">
        <v>30.17</v>
      </c>
      <c r="D788" s="184">
        <v>9.61</v>
      </c>
      <c r="E788" s="184">
        <v>19.91</v>
      </c>
      <c r="F788" s="184" t="s">
        <v>23</v>
      </c>
      <c r="G788" s="184" t="s">
        <v>576</v>
      </c>
      <c r="H788" s="139">
        <v>1300</v>
      </c>
      <c r="I788" s="139">
        <f t="shared" si="38"/>
        <v>25883</v>
      </c>
      <c r="J788" s="139">
        <v>0</v>
      </c>
      <c r="K788" s="139">
        <f t="shared" si="35"/>
        <v>25883</v>
      </c>
      <c r="L788" s="139">
        <v>0</v>
      </c>
      <c r="M788" s="139">
        <f t="shared" si="36"/>
        <v>25883</v>
      </c>
      <c r="N788" s="185" t="s">
        <v>575</v>
      </c>
    </row>
    <row r="789" spans="1:14" ht="15.75" customHeight="1" x14ac:dyDescent="0.25">
      <c r="A789" s="183">
        <v>45918</v>
      </c>
      <c r="B789" s="184" t="s">
        <v>577</v>
      </c>
      <c r="C789" s="184">
        <v>30.22</v>
      </c>
      <c r="D789" s="184">
        <v>9.4600000000000009</v>
      </c>
      <c r="E789" s="184">
        <f t="shared" si="37"/>
        <v>20.759999999999998</v>
      </c>
      <c r="F789" s="184" t="s">
        <v>23</v>
      </c>
      <c r="G789" s="184" t="s">
        <v>586</v>
      </c>
      <c r="H789" s="139">
        <v>1350</v>
      </c>
      <c r="I789" s="139">
        <f t="shared" si="38"/>
        <v>28025.999999999996</v>
      </c>
      <c r="J789" s="139">
        <v>0</v>
      </c>
      <c r="K789" s="139">
        <f t="shared" si="35"/>
        <v>28025.999999999996</v>
      </c>
      <c r="L789" s="139">
        <v>0</v>
      </c>
      <c r="M789" s="139">
        <f t="shared" si="36"/>
        <v>28025.999999999996</v>
      </c>
      <c r="N789" s="185" t="s">
        <v>575</v>
      </c>
    </row>
    <row r="790" spans="1:14" ht="15.75" customHeight="1" x14ac:dyDescent="0.25">
      <c r="A790" s="183">
        <v>45918</v>
      </c>
      <c r="B790" s="184" t="s">
        <v>67</v>
      </c>
      <c r="C790" s="184">
        <v>29.52</v>
      </c>
      <c r="D790" s="184">
        <v>9.49</v>
      </c>
      <c r="E790" s="184">
        <f t="shared" si="37"/>
        <v>20.03</v>
      </c>
      <c r="F790" s="184" t="s">
        <v>23</v>
      </c>
      <c r="G790" s="184" t="s">
        <v>586</v>
      </c>
      <c r="H790" s="139">
        <v>1350</v>
      </c>
      <c r="I790" s="139">
        <f t="shared" si="38"/>
        <v>27040.5</v>
      </c>
      <c r="J790" s="139">
        <v>0</v>
      </c>
      <c r="K790" s="139">
        <f t="shared" si="35"/>
        <v>27040.5</v>
      </c>
      <c r="L790" s="139">
        <v>0</v>
      </c>
      <c r="M790" s="139">
        <f t="shared" si="36"/>
        <v>27040.5</v>
      </c>
      <c r="N790" s="185" t="s">
        <v>575</v>
      </c>
    </row>
    <row r="791" spans="1:14" ht="15.75" customHeight="1" x14ac:dyDescent="0.25">
      <c r="A791" s="183">
        <v>45918</v>
      </c>
      <c r="B791" s="184" t="s">
        <v>17</v>
      </c>
      <c r="C791" s="184">
        <v>6.64</v>
      </c>
      <c r="D791" s="184">
        <v>2.8</v>
      </c>
      <c r="E791" s="184">
        <f t="shared" si="37"/>
        <v>3.84</v>
      </c>
      <c r="F791" s="184" t="s">
        <v>23</v>
      </c>
      <c r="G791" s="184" t="s">
        <v>588</v>
      </c>
      <c r="H791" s="139">
        <v>1400</v>
      </c>
      <c r="I791" s="139">
        <f t="shared" si="38"/>
        <v>5376</v>
      </c>
      <c r="J791" s="139">
        <v>0</v>
      </c>
      <c r="K791" s="139">
        <f t="shared" si="35"/>
        <v>5376</v>
      </c>
      <c r="L791" s="139">
        <v>26</v>
      </c>
      <c r="M791" s="139">
        <f t="shared" si="36"/>
        <v>5350</v>
      </c>
      <c r="N791" s="185" t="s">
        <v>579</v>
      </c>
    </row>
    <row r="792" spans="1:14" ht="15.75" customHeight="1" x14ac:dyDescent="0.25">
      <c r="A792" s="183">
        <v>45918</v>
      </c>
      <c r="B792" s="184" t="s">
        <v>577</v>
      </c>
      <c r="C792" s="184">
        <v>19.22</v>
      </c>
      <c r="D792" s="184">
        <v>9.33</v>
      </c>
      <c r="E792" s="184">
        <f t="shared" si="37"/>
        <v>9.8899999999999988</v>
      </c>
      <c r="F792" s="184" t="s">
        <v>23</v>
      </c>
      <c r="G792" s="184" t="s">
        <v>584</v>
      </c>
      <c r="H792" s="139">
        <v>1400</v>
      </c>
      <c r="I792" s="139">
        <f t="shared" si="38"/>
        <v>13845.999999999998</v>
      </c>
      <c r="J792" s="139">
        <v>1500</v>
      </c>
      <c r="K792" s="139">
        <f t="shared" si="35"/>
        <v>15345.999999999998</v>
      </c>
      <c r="L792" s="139">
        <v>346</v>
      </c>
      <c r="M792" s="139">
        <f t="shared" si="36"/>
        <v>14999.999999999998</v>
      </c>
      <c r="N792" s="185" t="s">
        <v>579</v>
      </c>
    </row>
    <row r="793" spans="1:14" ht="15.75" customHeight="1" x14ac:dyDescent="0.25">
      <c r="A793" s="183">
        <v>45919</v>
      </c>
      <c r="B793" s="184" t="s">
        <v>577</v>
      </c>
      <c r="C793" s="184">
        <v>29.97</v>
      </c>
      <c r="D793" s="184">
        <v>9.68</v>
      </c>
      <c r="E793" s="184">
        <f t="shared" si="37"/>
        <v>20.29</v>
      </c>
      <c r="F793" s="184" t="s">
        <v>26</v>
      </c>
      <c r="G793" s="184" t="s">
        <v>48</v>
      </c>
      <c r="H793" s="139">
        <v>1225</v>
      </c>
      <c r="I793" s="139">
        <f t="shared" si="38"/>
        <v>24855.25</v>
      </c>
      <c r="J793" s="139">
        <v>0</v>
      </c>
      <c r="K793" s="139">
        <f t="shared" si="35"/>
        <v>24855.25</v>
      </c>
      <c r="L793" s="139">
        <v>0</v>
      </c>
      <c r="M793" s="139">
        <f t="shared" si="36"/>
        <v>24855.25</v>
      </c>
      <c r="N793" s="185" t="s">
        <v>575</v>
      </c>
    </row>
    <row r="794" spans="1:14" ht="15.75" customHeight="1" x14ac:dyDescent="0.25">
      <c r="A794" s="183">
        <v>45919</v>
      </c>
      <c r="B794" s="184" t="s">
        <v>577</v>
      </c>
      <c r="C794" s="184">
        <v>30.71</v>
      </c>
      <c r="D794" s="184">
        <v>9.6</v>
      </c>
      <c r="E794" s="184">
        <f t="shared" si="37"/>
        <v>21.11</v>
      </c>
      <c r="F794" s="184" t="s">
        <v>26</v>
      </c>
      <c r="G794" s="184" t="s">
        <v>48</v>
      </c>
      <c r="H794" s="139">
        <v>1225</v>
      </c>
      <c r="I794" s="139">
        <f t="shared" si="38"/>
        <v>25859.75</v>
      </c>
      <c r="J794" s="139">
        <v>0</v>
      </c>
      <c r="K794" s="139">
        <f t="shared" si="35"/>
        <v>25859.75</v>
      </c>
      <c r="L794" s="139">
        <v>0</v>
      </c>
      <c r="M794" s="139">
        <f t="shared" si="36"/>
        <v>25859.75</v>
      </c>
      <c r="N794" s="185" t="s">
        <v>575</v>
      </c>
    </row>
    <row r="795" spans="1:14" ht="15.75" customHeight="1" x14ac:dyDescent="0.25">
      <c r="A795" s="183">
        <v>45920</v>
      </c>
      <c r="B795" s="184" t="s">
        <v>577</v>
      </c>
      <c r="C795" s="184">
        <v>28.63</v>
      </c>
      <c r="D795" s="184">
        <v>9.4499999999999993</v>
      </c>
      <c r="E795" s="184">
        <f t="shared" si="37"/>
        <v>19.18</v>
      </c>
      <c r="F795" s="184" t="s">
        <v>26</v>
      </c>
      <c r="G795" s="184" t="s">
        <v>48</v>
      </c>
      <c r="H795" s="139">
        <v>1225</v>
      </c>
      <c r="I795" s="139">
        <f t="shared" si="38"/>
        <v>23495.5</v>
      </c>
      <c r="J795" s="139">
        <v>0</v>
      </c>
      <c r="K795" s="139">
        <f t="shared" si="35"/>
        <v>23495.5</v>
      </c>
      <c r="L795" s="139">
        <v>0</v>
      </c>
      <c r="M795" s="139">
        <f t="shared" si="36"/>
        <v>23495.5</v>
      </c>
      <c r="N795" s="185" t="s">
        <v>575</v>
      </c>
    </row>
    <row r="796" spans="1:14" ht="15.75" customHeight="1" x14ac:dyDescent="0.25">
      <c r="A796" s="183">
        <v>45920</v>
      </c>
      <c r="B796" s="184" t="s">
        <v>49</v>
      </c>
      <c r="C796" s="184">
        <v>25.9</v>
      </c>
      <c r="D796" s="184">
        <v>9.44</v>
      </c>
      <c r="E796" s="184">
        <f t="shared" si="37"/>
        <v>16.46</v>
      </c>
      <c r="F796" s="184" t="s">
        <v>26</v>
      </c>
      <c r="G796" s="184" t="s">
        <v>48</v>
      </c>
      <c r="H796" s="139">
        <v>1225</v>
      </c>
      <c r="I796" s="139">
        <f t="shared" si="38"/>
        <v>20163.5</v>
      </c>
      <c r="J796" s="139">
        <v>0</v>
      </c>
      <c r="K796" s="139">
        <f t="shared" si="35"/>
        <v>20163.5</v>
      </c>
      <c r="L796" s="139">
        <v>0</v>
      </c>
      <c r="M796" s="139">
        <f t="shared" si="36"/>
        <v>20163.5</v>
      </c>
      <c r="N796" s="185" t="s">
        <v>575</v>
      </c>
    </row>
    <row r="797" spans="1:14" ht="15.75" customHeight="1" x14ac:dyDescent="0.25">
      <c r="A797" s="183">
        <v>45920</v>
      </c>
      <c r="B797" s="184" t="s">
        <v>67</v>
      </c>
      <c r="C797" s="184">
        <v>32.380000000000003</v>
      </c>
      <c r="D797" s="184">
        <v>9.42</v>
      </c>
      <c r="E797" s="184">
        <f t="shared" si="37"/>
        <v>22.96</v>
      </c>
      <c r="F797" s="184" t="s">
        <v>38</v>
      </c>
      <c r="G797" s="184" t="s">
        <v>576</v>
      </c>
      <c r="H797" s="139">
        <v>500</v>
      </c>
      <c r="I797" s="139">
        <f t="shared" si="38"/>
        <v>11480</v>
      </c>
      <c r="J797" s="139">
        <v>0</v>
      </c>
      <c r="K797" s="139">
        <f t="shared" si="35"/>
        <v>11480</v>
      </c>
      <c r="L797" s="139">
        <v>0</v>
      </c>
      <c r="M797" s="139">
        <f t="shared" si="36"/>
        <v>11480</v>
      </c>
      <c r="N797" s="185" t="s">
        <v>575</v>
      </c>
    </row>
    <row r="798" spans="1:14" ht="15.75" customHeight="1" x14ac:dyDescent="0.25">
      <c r="A798" s="183">
        <v>45920</v>
      </c>
      <c r="B798" s="184" t="s">
        <v>51</v>
      </c>
      <c r="C798" s="184">
        <v>32.36</v>
      </c>
      <c r="D798" s="184">
        <v>9.68</v>
      </c>
      <c r="E798" s="184">
        <f t="shared" si="37"/>
        <v>22.68</v>
      </c>
      <c r="F798" s="184" t="s">
        <v>38</v>
      </c>
      <c r="G798" s="184" t="s">
        <v>576</v>
      </c>
      <c r="H798" s="139">
        <v>500</v>
      </c>
      <c r="I798" s="139">
        <f t="shared" si="38"/>
        <v>11340</v>
      </c>
      <c r="J798" s="139">
        <v>0</v>
      </c>
      <c r="K798" s="139">
        <f t="shared" si="35"/>
        <v>11340</v>
      </c>
      <c r="L798" s="139">
        <v>0</v>
      </c>
      <c r="M798" s="139">
        <f t="shared" si="36"/>
        <v>11340</v>
      </c>
      <c r="N798" s="185" t="s">
        <v>575</v>
      </c>
    </row>
    <row r="799" spans="1:14" ht="15.75" customHeight="1" x14ac:dyDescent="0.25">
      <c r="A799" s="183">
        <v>45920</v>
      </c>
      <c r="B799" s="184" t="s">
        <v>577</v>
      </c>
      <c r="C799" s="184">
        <v>31.25</v>
      </c>
      <c r="D799" s="184">
        <v>9.61</v>
      </c>
      <c r="E799" s="184">
        <f t="shared" si="37"/>
        <v>21.64</v>
      </c>
      <c r="F799" s="184" t="s">
        <v>38</v>
      </c>
      <c r="G799" s="184" t="s">
        <v>576</v>
      </c>
      <c r="H799" s="139">
        <v>500</v>
      </c>
      <c r="I799" s="139">
        <f t="shared" si="38"/>
        <v>10820</v>
      </c>
      <c r="J799" s="139">
        <v>0</v>
      </c>
      <c r="K799" s="139">
        <f t="shared" si="35"/>
        <v>10820</v>
      </c>
      <c r="L799" s="139">
        <v>0</v>
      </c>
      <c r="M799" s="139">
        <f t="shared" si="36"/>
        <v>10820</v>
      </c>
      <c r="N799" s="185" t="s">
        <v>575</v>
      </c>
    </row>
    <row r="800" spans="1:14" ht="15.75" customHeight="1" x14ac:dyDescent="0.25">
      <c r="A800" s="183">
        <v>45920</v>
      </c>
      <c r="B800" s="184" t="s">
        <v>67</v>
      </c>
      <c r="C800" s="184">
        <v>32.83</v>
      </c>
      <c r="D800" s="184">
        <v>9.66</v>
      </c>
      <c r="E800" s="184">
        <f t="shared" si="37"/>
        <v>23.169999999999998</v>
      </c>
      <c r="F800" s="184" t="s">
        <v>38</v>
      </c>
      <c r="G800" s="184" t="s">
        <v>576</v>
      </c>
      <c r="H800" s="139">
        <v>500</v>
      </c>
      <c r="I800" s="139">
        <f t="shared" si="38"/>
        <v>11584.999999999998</v>
      </c>
      <c r="J800" s="139">
        <v>0</v>
      </c>
      <c r="K800" s="139">
        <f t="shared" si="35"/>
        <v>11584.999999999998</v>
      </c>
      <c r="L800" s="139">
        <v>0</v>
      </c>
      <c r="M800" s="139">
        <f t="shared" si="36"/>
        <v>11584.999999999998</v>
      </c>
      <c r="N800" s="185" t="s">
        <v>575</v>
      </c>
    </row>
    <row r="801" spans="1:14" ht="15.75" customHeight="1" x14ac:dyDescent="0.25">
      <c r="A801" s="183">
        <v>45921</v>
      </c>
      <c r="B801" s="184" t="s">
        <v>577</v>
      </c>
      <c r="C801" s="184">
        <v>29.96</v>
      </c>
      <c r="D801" s="184">
        <v>9.36</v>
      </c>
      <c r="E801" s="184">
        <f t="shared" si="37"/>
        <v>20.6</v>
      </c>
      <c r="F801" s="184" t="s">
        <v>38</v>
      </c>
      <c r="G801" s="184" t="s">
        <v>576</v>
      </c>
      <c r="H801" s="139">
        <v>500</v>
      </c>
      <c r="I801" s="139">
        <f t="shared" si="38"/>
        <v>10300</v>
      </c>
      <c r="J801" s="139">
        <v>0</v>
      </c>
      <c r="K801" s="139">
        <f t="shared" si="35"/>
        <v>10300</v>
      </c>
      <c r="L801" s="139">
        <v>0</v>
      </c>
      <c r="M801" s="139">
        <f t="shared" si="36"/>
        <v>10300</v>
      </c>
      <c r="N801" s="185" t="s">
        <v>575</v>
      </c>
    </row>
    <row r="802" spans="1:14" ht="15.75" customHeight="1" x14ac:dyDescent="0.25">
      <c r="A802" s="183">
        <v>45921</v>
      </c>
      <c r="B802" s="184" t="s">
        <v>51</v>
      </c>
      <c r="C802" s="184">
        <v>30.05</v>
      </c>
      <c r="D802" s="184">
        <v>9.2100000000000009</v>
      </c>
      <c r="E802" s="184">
        <f t="shared" si="37"/>
        <v>20.84</v>
      </c>
      <c r="F802" s="184" t="s">
        <v>38</v>
      </c>
      <c r="G802" s="184" t="s">
        <v>576</v>
      </c>
      <c r="H802" s="139">
        <v>500</v>
      </c>
      <c r="I802" s="139">
        <f t="shared" si="38"/>
        <v>10420</v>
      </c>
      <c r="J802" s="139">
        <v>0</v>
      </c>
      <c r="K802" s="139">
        <f t="shared" si="35"/>
        <v>10420</v>
      </c>
      <c r="L802" s="139">
        <v>0</v>
      </c>
      <c r="M802" s="139">
        <f t="shared" si="36"/>
        <v>10420</v>
      </c>
      <c r="N802" s="185" t="s">
        <v>575</v>
      </c>
    </row>
    <row r="803" spans="1:14" ht="15.75" customHeight="1" x14ac:dyDescent="0.25">
      <c r="A803" s="183">
        <v>45921</v>
      </c>
      <c r="B803" s="184" t="s">
        <v>49</v>
      </c>
      <c r="C803" s="184">
        <v>31.2</v>
      </c>
      <c r="D803" s="184">
        <v>9.69</v>
      </c>
      <c r="E803" s="184">
        <f t="shared" si="37"/>
        <v>21.509999999999998</v>
      </c>
      <c r="F803" s="184" t="s">
        <v>38</v>
      </c>
      <c r="G803" s="184" t="s">
        <v>576</v>
      </c>
      <c r="H803" s="139">
        <v>500</v>
      </c>
      <c r="I803" s="139">
        <f t="shared" si="38"/>
        <v>10754.999999999998</v>
      </c>
      <c r="J803" s="139">
        <v>0</v>
      </c>
      <c r="K803" s="139">
        <f t="shared" ref="K803:K827" si="39">I803+J803</f>
        <v>10754.999999999998</v>
      </c>
      <c r="L803" s="139">
        <v>0</v>
      </c>
      <c r="M803" s="139">
        <f t="shared" ref="M803:M827" si="40">K803-L803</f>
        <v>10754.999999999998</v>
      </c>
      <c r="N803" s="185" t="s">
        <v>575</v>
      </c>
    </row>
    <row r="804" spans="1:14" ht="15.75" customHeight="1" x14ac:dyDescent="0.25">
      <c r="A804" s="183">
        <v>45922</v>
      </c>
      <c r="B804" s="184" t="s">
        <v>577</v>
      </c>
      <c r="C804" s="184">
        <v>30.83</v>
      </c>
      <c r="D804" s="184">
        <v>9.74</v>
      </c>
      <c r="E804" s="184">
        <f t="shared" ref="E804:E827" si="41">C804-D804</f>
        <v>21.089999999999996</v>
      </c>
      <c r="F804" s="184" t="s">
        <v>23</v>
      </c>
      <c r="G804" s="184" t="s">
        <v>586</v>
      </c>
      <c r="H804" s="139">
        <v>1350</v>
      </c>
      <c r="I804" s="139">
        <f t="shared" ref="I804:I827" si="42">H804*E804</f>
        <v>28471.499999999996</v>
      </c>
      <c r="J804" s="139">
        <v>0</v>
      </c>
      <c r="K804" s="139">
        <f t="shared" si="39"/>
        <v>28471.499999999996</v>
      </c>
      <c r="L804" s="139">
        <v>0</v>
      </c>
      <c r="M804" s="139">
        <f t="shared" si="40"/>
        <v>28471.499999999996</v>
      </c>
      <c r="N804" s="185" t="s">
        <v>575</v>
      </c>
    </row>
    <row r="805" spans="1:14" ht="15.75" customHeight="1" x14ac:dyDescent="0.25">
      <c r="A805" s="183">
        <v>45922</v>
      </c>
      <c r="B805" s="184" t="s">
        <v>51</v>
      </c>
      <c r="C805" s="184">
        <v>25.81</v>
      </c>
      <c r="D805" s="184">
        <v>9.43</v>
      </c>
      <c r="E805" s="184">
        <f t="shared" si="41"/>
        <v>16.38</v>
      </c>
      <c r="F805" s="184" t="s">
        <v>35</v>
      </c>
      <c r="G805" s="184" t="s">
        <v>576</v>
      </c>
      <c r="H805" s="139">
        <v>1100</v>
      </c>
      <c r="I805" s="139">
        <f t="shared" si="42"/>
        <v>18018</v>
      </c>
      <c r="J805" s="139">
        <v>0</v>
      </c>
      <c r="K805" s="139">
        <f t="shared" si="39"/>
        <v>18018</v>
      </c>
      <c r="L805" s="139">
        <v>0</v>
      </c>
      <c r="M805" s="139">
        <f t="shared" si="40"/>
        <v>18018</v>
      </c>
      <c r="N805" s="185" t="s">
        <v>575</v>
      </c>
    </row>
    <row r="806" spans="1:14" ht="15.75" customHeight="1" x14ac:dyDescent="0.25">
      <c r="A806" s="183">
        <v>45923</v>
      </c>
      <c r="B806" s="184" t="s">
        <v>577</v>
      </c>
      <c r="C806" s="184">
        <v>30.94</v>
      </c>
      <c r="D806" s="184">
        <v>9.73</v>
      </c>
      <c r="E806" s="184">
        <f t="shared" si="41"/>
        <v>21.21</v>
      </c>
      <c r="F806" s="184" t="s">
        <v>23</v>
      </c>
      <c r="G806" s="184" t="s">
        <v>589</v>
      </c>
      <c r="H806" s="139">
        <v>1350</v>
      </c>
      <c r="I806" s="139">
        <f t="shared" si="42"/>
        <v>28633.5</v>
      </c>
      <c r="J806" s="139">
        <v>0</v>
      </c>
      <c r="K806" s="139">
        <f t="shared" si="39"/>
        <v>28633.5</v>
      </c>
      <c r="L806" s="139">
        <v>0</v>
      </c>
      <c r="M806" s="139">
        <f t="shared" si="40"/>
        <v>28633.5</v>
      </c>
      <c r="N806" s="185" t="s">
        <v>25</v>
      </c>
    </row>
    <row r="807" spans="1:14" ht="15.75" customHeight="1" x14ac:dyDescent="0.25">
      <c r="A807" s="183">
        <v>45923</v>
      </c>
      <c r="B807" s="184" t="s">
        <v>67</v>
      </c>
      <c r="C807" s="184">
        <v>32.590000000000003</v>
      </c>
      <c r="D807" s="184">
        <v>9.5500000000000007</v>
      </c>
      <c r="E807" s="184">
        <f t="shared" si="41"/>
        <v>23.040000000000003</v>
      </c>
      <c r="F807" s="184" t="s">
        <v>23</v>
      </c>
      <c r="G807" s="184" t="s">
        <v>589</v>
      </c>
      <c r="H807" s="139">
        <v>1370</v>
      </c>
      <c r="I807" s="139">
        <f t="shared" si="42"/>
        <v>31564.800000000003</v>
      </c>
      <c r="J807" s="139">
        <v>0</v>
      </c>
      <c r="K807" s="139">
        <f t="shared" si="39"/>
        <v>31564.800000000003</v>
      </c>
      <c r="L807" s="139">
        <v>0</v>
      </c>
      <c r="M807" s="139">
        <f t="shared" si="40"/>
        <v>31564.800000000003</v>
      </c>
      <c r="N807" s="185" t="s">
        <v>25</v>
      </c>
    </row>
    <row r="808" spans="1:14" ht="15.75" customHeight="1" x14ac:dyDescent="0.25">
      <c r="A808" s="183">
        <v>45924</v>
      </c>
      <c r="B808" s="184" t="s">
        <v>577</v>
      </c>
      <c r="C808" s="184">
        <v>30.28</v>
      </c>
      <c r="D808" s="184">
        <v>9.67</v>
      </c>
      <c r="E808" s="184">
        <f t="shared" si="41"/>
        <v>20.61</v>
      </c>
      <c r="F808" s="184" t="s">
        <v>23</v>
      </c>
      <c r="G808" s="184" t="s">
        <v>589</v>
      </c>
      <c r="H808" s="139">
        <v>1370</v>
      </c>
      <c r="I808" s="139">
        <f t="shared" si="42"/>
        <v>28235.7</v>
      </c>
      <c r="J808" s="139">
        <v>0</v>
      </c>
      <c r="K808" s="139">
        <f t="shared" si="39"/>
        <v>28235.7</v>
      </c>
      <c r="L808" s="139">
        <v>0</v>
      </c>
      <c r="M808" s="139">
        <f t="shared" si="40"/>
        <v>28235.7</v>
      </c>
      <c r="N808" s="185" t="s">
        <v>25</v>
      </c>
    </row>
    <row r="809" spans="1:14" ht="15.75" customHeight="1" x14ac:dyDescent="0.25">
      <c r="A809" s="183">
        <v>45924</v>
      </c>
      <c r="B809" s="184" t="s">
        <v>67</v>
      </c>
      <c r="C809" s="184">
        <v>30.56</v>
      </c>
      <c r="D809" s="184">
        <v>9.34</v>
      </c>
      <c r="E809" s="184">
        <f t="shared" si="41"/>
        <v>21.22</v>
      </c>
      <c r="F809" s="184" t="s">
        <v>23</v>
      </c>
      <c r="G809" s="184" t="s">
        <v>589</v>
      </c>
      <c r="H809" s="139">
        <v>1370</v>
      </c>
      <c r="I809" s="139">
        <f t="shared" si="42"/>
        <v>29071.399999999998</v>
      </c>
      <c r="J809" s="139">
        <v>0</v>
      </c>
      <c r="K809" s="139">
        <f t="shared" si="39"/>
        <v>29071.399999999998</v>
      </c>
      <c r="L809" s="139">
        <v>0</v>
      </c>
      <c r="M809" s="139">
        <f t="shared" si="40"/>
        <v>29071.399999999998</v>
      </c>
      <c r="N809" s="185" t="s">
        <v>25</v>
      </c>
    </row>
    <row r="810" spans="1:14" ht="15.75" customHeight="1" x14ac:dyDescent="0.25">
      <c r="A810" s="183">
        <v>45925</v>
      </c>
      <c r="B810" s="184" t="s">
        <v>181</v>
      </c>
      <c r="C810" s="184">
        <v>8.02</v>
      </c>
      <c r="D810" s="184">
        <v>3.13</v>
      </c>
      <c r="E810" s="184">
        <f t="shared" si="41"/>
        <v>4.8899999999999997</v>
      </c>
      <c r="F810" s="184" t="s">
        <v>23</v>
      </c>
      <c r="G810" s="184" t="s">
        <v>590</v>
      </c>
      <c r="H810" s="139">
        <v>1450</v>
      </c>
      <c r="I810" s="139">
        <f t="shared" si="42"/>
        <v>7090.4999999999991</v>
      </c>
      <c r="J810" s="139">
        <v>0</v>
      </c>
      <c r="K810" s="139">
        <f t="shared" si="39"/>
        <v>7090.4999999999991</v>
      </c>
      <c r="L810" s="139">
        <v>0.5</v>
      </c>
      <c r="M810" s="139">
        <f t="shared" si="40"/>
        <v>7089.9999999999991</v>
      </c>
      <c r="N810" s="185" t="s">
        <v>25</v>
      </c>
    </row>
    <row r="811" spans="1:14" ht="15.75" customHeight="1" x14ac:dyDescent="0.25">
      <c r="A811" s="183">
        <v>45926</v>
      </c>
      <c r="B811" s="184" t="s">
        <v>577</v>
      </c>
      <c r="C811" s="184">
        <v>22.31</v>
      </c>
      <c r="D811" s="184">
        <v>9.33</v>
      </c>
      <c r="E811" s="184">
        <f t="shared" si="41"/>
        <v>12.979999999999999</v>
      </c>
      <c r="F811" s="184" t="s">
        <v>38</v>
      </c>
      <c r="G811" s="184" t="s">
        <v>591</v>
      </c>
      <c r="H811" s="139">
        <v>500</v>
      </c>
      <c r="I811" s="139">
        <f t="shared" si="42"/>
        <v>6489.9999999999991</v>
      </c>
      <c r="J811" s="139">
        <v>1000</v>
      </c>
      <c r="K811" s="139">
        <f t="shared" si="39"/>
        <v>7489.9999999999991</v>
      </c>
      <c r="L811" s="139">
        <v>0</v>
      </c>
      <c r="M811" s="139">
        <f t="shared" si="40"/>
        <v>7489.9999999999991</v>
      </c>
      <c r="N811" s="185" t="s">
        <v>25</v>
      </c>
    </row>
    <row r="812" spans="1:14" ht="15.75" customHeight="1" x14ac:dyDescent="0.25">
      <c r="A812" s="183">
        <v>45927</v>
      </c>
      <c r="B812" s="184" t="s">
        <v>67</v>
      </c>
      <c r="C812" s="184">
        <v>27.67</v>
      </c>
      <c r="D812" s="184">
        <v>9.4700000000000006</v>
      </c>
      <c r="E812" s="184">
        <f t="shared" si="41"/>
        <v>18.200000000000003</v>
      </c>
      <c r="F812" s="184" t="s">
        <v>35</v>
      </c>
      <c r="G812" s="184" t="s">
        <v>592</v>
      </c>
      <c r="H812" s="139">
        <v>1250</v>
      </c>
      <c r="I812" s="139">
        <f t="shared" si="42"/>
        <v>22750.000000000004</v>
      </c>
      <c r="J812" s="139">
        <v>2000</v>
      </c>
      <c r="K812" s="139">
        <f t="shared" si="39"/>
        <v>24750.000000000004</v>
      </c>
      <c r="L812" s="139">
        <v>0</v>
      </c>
      <c r="M812" s="139">
        <f t="shared" si="40"/>
        <v>24750.000000000004</v>
      </c>
      <c r="N812" s="185" t="s">
        <v>25</v>
      </c>
    </row>
    <row r="813" spans="1:14" ht="15.75" customHeight="1" x14ac:dyDescent="0.25">
      <c r="A813" s="183">
        <v>45927</v>
      </c>
      <c r="B813" s="184" t="s">
        <v>49</v>
      </c>
      <c r="C813" s="184">
        <v>33.409999999999997</v>
      </c>
      <c r="D813" s="184">
        <v>9.83</v>
      </c>
      <c r="E813" s="184">
        <f t="shared" si="41"/>
        <v>23.58</v>
      </c>
      <c r="F813" s="184" t="s">
        <v>38</v>
      </c>
      <c r="G813" s="184" t="s">
        <v>576</v>
      </c>
      <c r="H813" s="139">
        <v>500</v>
      </c>
      <c r="I813" s="139">
        <f t="shared" si="42"/>
        <v>11790</v>
      </c>
      <c r="J813" s="139">
        <v>0</v>
      </c>
      <c r="K813" s="139">
        <f t="shared" si="39"/>
        <v>11790</v>
      </c>
      <c r="L813" s="139">
        <v>0</v>
      </c>
      <c r="M813" s="139">
        <f t="shared" si="40"/>
        <v>11790</v>
      </c>
      <c r="N813" s="185" t="s">
        <v>575</v>
      </c>
    </row>
    <row r="814" spans="1:14" ht="15.75" customHeight="1" x14ac:dyDescent="0.25">
      <c r="A814" s="183">
        <v>45927</v>
      </c>
      <c r="B814" s="184" t="s">
        <v>40</v>
      </c>
      <c r="C814" s="184">
        <v>6.95</v>
      </c>
      <c r="D814" s="184">
        <v>3.13</v>
      </c>
      <c r="E814" s="184">
        <f t="shared" si="41"/>
        <v>3.8200000000000003</v>
      </c>
      <c r="F814" s="184" t="s">
        <v>23</v>
      </c>
      <c r="G814" s="184" t="s">
        <v>593</v>
      </c>
      <c r="H814" s="139">
        <v>1450</v>
      </c>
      <c r="I814" s="139">
        <f t="shared" si="42"/>
        <v>5539</v>
      </c>
      <c r="J814" s="139">
        <v>0</v>
      </c>
      <c r="K814" s="139">
        <f t="shared" si="39"/>
        <v>5539</v>
      </c>
      <c r="L814" s="139">
        <v>39</v>
      </c>
      <c r="M814" s="139">
        <f t="shared" si="40"/>
        <v>5500</v>
      </c>
      <c r="N814" s="185" t="s">
        <v>579</v>
      </c>
    </row>
    <row r="815" spans="1:14" ht="15.75" customHeight="1" x14ac:dyDescent="0.25">
      <c r="A815" s="183">
        <v>45927</v>
      </c>
      <c r="B815" s="184" t="s">
        <v>594</v>
      </c>
      <c r="C815" s="184">
        <v>7</v>
      </c>
      <c r="D815" s="184">
        <v>3.1</v>
      </c>
      <c r="E815" s="184">
        <f t="shared" si="41"/>
        <v>3.9</v>
      </c>
      <c r="F815" s="184" t="s">
        <v>23</v>
      </c>
      <c r="G815" s="184" t="s">
        <v>593</v>
      </c>
      <c r="H815" s="139">
        <v>1450</v>
      </c>
      <c r="I815" s="139">
        <f t="shared" si="42"/>
        <v>5655</v>
      </c>
      <c r="J815" s="139">
        <v>0</v>
      </c>
      <c r="K815" s="139">
        <f t="shared" si="39"/>
        <v>5655</v>
      </c>
      <c r="L815" s="139">
        <v>55</v>
      </c>
      <c r="M815" s="139">
        <f t="shared" si="40"/>
        <v>5600</v>
      </c>
      <c r="N815" s="185" t="s">
        <v>579</v>
      </c>
    </row>
    <row r="816" spans="1:14" ht="15.75" customHeight="1" x14ac:dyDescent="0.25">
      <c r="A816" s="183">
        <v>45927</v>
      </c>
      <c r="B816" s="184" t="s">
        <v>40</v>
      </c>
      <c r="C816" s="184">
        <v>7.02</v>
      </c>
      <c r="D816" s="184">
        <v>2.98</v>
      </c>
      <c r="E816" s="184">
        <f t="shared" si="41"/>
        <v>4.0399999999999991</v>
      </c>
      <c r="F816" s="184" t="s">
        <v>23</v>
      </c>
      <c r="G816" s="184" t="s">
        <v>593</v>
      </c>
      <c r="H816" s="139">
        <v>1450</v>
      </c>
      <c r="I816" s="139">
        <f t="shared" si="42"/>
        <v>5857.9999999999991</v>
      </c>
      <c r="J816" s="139">
        <v>0</v>
      </c>
      <c r="K816" s="139">
        <f t="shared" si="39"/>
        <v>5857.9999999999991</v>
      </c>
      <c r="L816" s="139">
        <v>58</v>
      </c>
      <c r="M816" s="139">
        <f t="shared" si="40"/>
        <v>5799.9999999999991</v>
      </c>
      <c r="N816" s="185" t="s">
        <v>579</v>
      </c>
    </row>
    <row r="817" spans="1:14" ht="15.75" customHeight="1" x14ac:dyDescent="0.25">
      <c r="A817" s="183">
        <v>45927</v>
      </c>
      <c r="B817" s="184" t="s">
        <v>594</v>
      </c>
      <c r="C817" s="184">
        <v>7.01</v>
      </c>
      <c r="D817" s="184">
        <v>3.18</v>
      </c>
      <c r="E817" s="184">
        <f t="shared" si="41"/>
        <v>3.8299999999999996</v>
      </c>
      <c r="F817" s="184" t="s">
        <v>23</v>
      </c>
      <c r="G817" s="184" t="s">
        <v>593</v>
      </c>
      <c r="H817" s="139">
        <v>1450</v>
      </c>
      <c r="I817" s="139">
        <f t="shared" si="42"/>
        <v>5553.4999999999991</v>
      </c>
      <c r="J817" s="139">
        <v>0</v>
      </c>
      <c r="K817" s="139">
        <f t="shared" si="39"/>
        <v>5553.4999999999991</v>
      </c>
      <c r="L817" s="139">
        <v>353.5</v>
      </c>
      <c r="M817" s="139">
        <f t="shared" si="40"/>
        <v>5199.9999999999991</v>
      </c>
      <c r="N817" s="185" t="s">
        <v>579</v>
      </c>
    </row>
    <row r="818" spans="1:14" ht="15.75" customHeight="1" x14ac:dyDescent="0.25">
      <c r="A818" s="183">
        <v>45928</v>
      </c>
      <c r="B818" s="184" t="s">
        <v>577</v>
      </c>
      <c r="C818" s="184">
        <v>19.84</v>
      </c>
      <c r="D818" s="184">
        <v>9.8800000000000008</v>
      </c>
      <c r="E818" s="184">
        <f t="shared" si="41"/>
        <v>9.9599999999999991</v>
      </c>
      <c r="F818" s="184" t="s">
        <v>23</v>
      </c>
      <c r="G818" s="184" t="s">
        <v>595</v>
      </c>
      <c r="H818" s="139">
        <v>1400</v>
      </c>
      <c r="I818" s="139">
        <f t="shared" si="42"/>
        <v>13943.999999999998</v>
      </c>
      <c r="J818" s="139">
        <v>1500</v>
      </c>
      <c r="K818" s="139">
        <f t="shared" si="39"/>
        <v>15443.999999999998</v>
      </c>
      <c r="L818" s="139">
        <v>44</v>
      </c>
      <c r="M818" s="139">
        <f t="shared" si="40"/>
        <v>15399.999999999998</v>
      </c>
      <c r="N818" s="185" t="s">
        <v>579</v>
      </c>
    </row>
    <row r="819" spans="1:14" ht="15.75" customHeight="1" x14ac:dyDescent="0.25">
      <c r="A819" s="183">
        <v>45929</v>
      </c>
      <c r="B819" s="184" t="s">
        <v>207</v>
      </c>
      <c r="C819" s="184">
        <v>4.3099999999999996</v>
      </c>
      <c r="D819" s="184">
        <v>3.18</v>
      </c>
      <c r="E819" s="184">
        <f t="shared" si="41"/>
        <v>1.1299999999999994</v>
      </c>
      <c r="F819" s="184" t="s">
        <v>35</v>
      </c>
      <c r="G819" s="184" t="s">
        <v>596</v>
      </c>
      <c r="H819" s="139">
        <v>1250</v>
      </c>
      <c r="I819" s="139">
        <f t="shared" si="42"/>
        <v>1412.4999999999993</v>
      </c>
      <c r="J819" s="139">
        <v>0</v>
      </c>
      <c r="K819" s="139">
        <f t="shared" si="39"/>
        <v>1412.4999999999993</v>
      </c>
      <c r="L819" s="139">
        <v>12.5</v>
      </c>
      <c r="M819" s="139">
        <f t="shared" si="40"/>
        <v>1399.9999999999993</v>
      </c>
      <c r="N819" s="185" t="s">
        <v>25</v>
      </c>
    </row>
    <row r="820" spans="1:14" ht="15.75" customHeight="1" x14ac:dyDescent="0.25">
      <c r="A820" s="183">
        <v>45930</v>
      </c>
      <c r="B820" s="184" t="s">
        <v>51</v>
      </c>
      <c r="C820" s="184">
        <v>29.94</v>
      </c>
      <c r="D820" s="184">
        <v>9.43</v>
      </c>
      <c r="E820" s="184">
        <f t="shared" si="41"/>
        <v>20.51</v>
      </c>
      <c r="F820" s="184" t="s">
        <v>23</v>
      </c>
      <c r="G820" s="184" t="s">
        <v>597</v>
      </c>
      <c r="H820" s="139">
        <v>1300</v>
      </c>
      <c r="I820" s="139">
        <f t="shared" si="42"/>
        <v>26663.000000000004</v>
      </c>
      <c r="J820" s="139">
        <v>0</v>
      </c>
      <c r="K820" s="139">
        <f t="shared" si="39"/>
        <v>26663.000000000004</v>
      </c>
      <c r="L820" s="139">
        <v>0</v>
      </c>
      <c r="M820" s="139">
        <f t="shared" si="40"/>
        <v>26663.000000000004</v>
      </c>
      <c r="N820" s="185" t="s">
        <v>575</v>
      </c>
    </row>
    <row r="821" spans="1:14" ht="15.75" customHeight="1" x14ac:dyDescent="0.25">
      <c r="A821" s="183">
        <v>45930</v>
      </c>
      <c r="B821" s="184" t="s">
        <v>49</v>
      </c>
      <c r="C821" s="184">
        <v>29.8</v>
      </c>
      <c r="D821" s="184">
        <v>9.7899999999999991</v>
      </c>
      <c r="E821" s="184">
        <f t="shared" si="41"/>
        <v>20.010000000000002</v>
      </c>
      <c r="F821" s="184" t="s">
        <v>23</v>
      </c>
      <c r="G821" s="184" t="s">
        <v>597</v>
      </c>
      <c r="H821" s="139">
        <v>1300</v>
      </c>
      <c r="I821" s="139">
        <f t="shared" si="42"/>
        <v>26013.000000000004</v>
      </c>
      <c r="J821" s="139">
        <v>0</v>
      </c>
      <c r="K821" s="139">
        <f t="shared" si="39"/>
        <v>26013.000000000004</v>
      </c>
      <c r="L821" s="139">
        <v>0</v>
      </c>
      <c r="M821" s="139">
        <f t="shared" si="40"/>
        <v>26013.000000000004</v>
      </c>
      <c r="N821" s="185" t="s">
        <v>575</v>
      </c>
    </row>
    <row r="822" spans="1:14" ht="15.75" customHeight="1" x14ac:dyDescent="0.25">
      <c r="A822" s="183">
        <v>45930</v>
      </c>
      <c r="B822" s="184" t="s">
        <v>577</v>
      </c>
      <c r="C822" s="184">
        <v>30.02</v>
      </c>
      <c r="D822" s="184">
        <v>9.86</v>
      </c>
      <c r="E822" s="184">
        <f t="shared" si="41"/>
        <v>20.16</v>
      </c>
      <c r="F822" s="184" t="s">
        <v>23</v>
      </c>
      <c r="G822" s="184" t="s">
        <v>597</v>
      </c>
      <c r="H822" s="139">
        <v>1300</v>
      </c>
      <c r="I822" s="139">
        <f t="shared" si="42"/>
        <v>26208</v>
      </c>
      <c r="J822" s="139">
        <v>0</v>
      </c>
      <c r="K822" s="139">
        <f t="shared" si="39"/>
        <v>26208</v>
      </c>
      <c r="L822" s="139">
        <v>0</v>
      </c>
      <c r="M822" s="139">
        <f t="shared" si="40"/>
        <v>26208</v>
      </c>
      <c r="N822" s="185" t="s">
        <v>575</v>
      </c>
    </row>
    <row r="823" spans="1:14" ht="15.75" customHeight="1" x14ac:dyDescent="0.25">
      <c r="A823" s="183">
        <v>45930</v>
      </c>
      <c r="B823" s="184" t="s">
        <v>67</v>
      </c>
      <c r="C823" s="184">
        <v>27.91</v>
      </c>
      <c r="D823" s="184">
        <v>9.8699999999999992</v>
      </c>
      <c r="E823" s="184">
        <f t="shared" si="41"/>
        <v>18.04</v>
      </c>
      <c r="F823" s="184" t="s">
        <v>23</v>
      </c>
      <c r="G823" s="184" t="s">
        <v>597</v>
      </c>
      <c r="H823" s="139">
        <v>1300</v>
      </c>
      <c r="I823" s="139">
        <f t="shared" si="42"/>
        <v>23452</v>
      </c>
      <c r="J823" s="139">
        <v>0</v>
      </c>
      <c r="K823" s="139">
        <f t="shared" si="39"/>
        <v>23452</v>
      </c>
      <c r="L823" s="139">
        <v>0</v>
      </c>
      <c r="M823" s="139">
        <f t="shared" si="40"/>
        <v>23452</v>
      </c>
      <c r="N823" s="185" t="s">
        <v>575</v>
      </c>
    </row>
    <row r="824" spans="1:14" ht="15.75" customHeight="1" x14ac:dyDescent="0.25">
      <c r="A824" s="183">
        <v>45930</v>
      </c>
      <c r="B824" s="184" t="s">
        <v>49</v>
      </c>
      <c r="C824" s="184">
        <v>30.04</v>
      </c>
      <c r="D824" s="184">
        <v>9.6199999999999992</v>
      </c>
      <c r="E824" s="184">
        <f t="shared" si="41"/>
        <v>20.420000000000002</v>
      </c>
      <c r="F824" s="184" t="s">
        <v>23</v>
      </c>
      <c r="G824" s="184" t="s">
        <v>597</v>
      </c>
      <c r="H824" s="139">
        <v>1300</v>
      </c>
      <c r="I824" s="139">
        <f t="shared" si="42"/>
        <v>26546.000000000004</v>
      </c>
      <c r="J824" s="139">
        <v>0</v>
      </c>
      <c r="K824" s="139">
        <f t="shared" si="39"/>
        <v>26546.000000000004</v>
      </c>
      <c r="L824" s="139">
        <v>0</v>
      </c>
      <c r="M824" s="139">
        <f t="shared" si="40"/>
        <v>26546.000000000004</v>
      </c>
      <c r="N824" s="185" t="s">
        <v>575</v>
      </c>
    </row>
    <row r="825" spans="1:14" ht="15.75" customHeight="1" x14ac:dyDescent="0.25">
      <c r="A825" s="183">
        <v>45930</v>
      </c>
      <c r="B825" s="184" t="s">
        <v>51</v>
      </c>
      <c r="C825" s="184">
        <v>29.68</v>
      </c>
      <c r="D825" s="184">
        <v>9.34</v>
      </c>
      <c r="E825" s="184">
        <f t="shared" si="41"/>
        <v>20.34</v>
      </c>
      <c r="F825" s="184" t="s">
        <v>23</v>
      </c>
      <c r="G825" s="184" t="s">
        <v>597</v>
      </c>
      <c r="H825" s="139">
        <v>1300</v>
      </c>
      <c r="I825" s="139">
        <f t="shared" si="42"/>
        <v>26442</v>
      </c>
      <c r="J825" s="139">
        <v>0</v>
      </c>
      <c r="K825" s="139">
        <f t="shared" si="39"/>
        <v>26442</v>
      </c>
      <c r="L825" s="139">
        <v>0</v>
      </c>
      <c r="M825" s="139">
        <f t="shared" si="40"/>
        <v>26442</v>
      </c>
      <c r="N825" s="185" t="s">
        <v>575</v>
      </c>
    </row>
    <row r="826" spans="1:14" ht="15.75" customHeight="1" x14ac:dyDescent="0.25">
      <c r="A826" s="183">
        <v>45930</v>
      </c>
      <c r="B826" s="184" t="s">
        <v>67</v>
      </c>
      <c r="C826" s="184">
        <v>31.56</v>
      </c>
      <c r="D826" s="184">
        <v>9.49</v>
      </c>
      <c r="E826" s="184">
        <f t="shared" si="41"/>
        <v>22.07</v>
      </c>
      <c r="F826" s="184" t="s">
        <v>23</v>
      </c>
      <c r="G826" s="184" t="s">
        <v>597</v>
      </c>
      <c r="H826" s="139">
        <v>1300</v>
      </c>
      <c r="I826" s="139">
        <f t="shared" si="42"/>
        <v>28691</v>
      </c>
      <c r="J826" s="139">
        <v>0</v>
      </c>
      <c r="K826" s="139">
        <f t="shared" si="39"/>
        <v>28691</v>
      </c>
      <c r="L826" s="139">
        <v>0</v>
      </c>
      <c r="M826" s="139">
        <f t="shared" si="40"/>
        <v>28691</v>
      </c>
      <c r="N826" s="185" t="s">
        <v>575</v>
      </c>
    </row>
    <row r="827" spans="1:14" ht="15.75" customHeight="1" thickBot="1" x14ac:dyDescent="0.3">
      <c r="A827" s="186">
        <v>45930</v>
      </c>
      <c r="B827" s="187" t="s">
        <v>577</v>
      </c>
      <c r="C827" s="187">
        <v>30.05</v>
      </c>
      <c r="D827" s="187">
        <v>9.57</v>
      </c>
      <c r="E827" s="187">
        <f t="shared" si="41"/>
        <v>20.48</v>
      </c>
      <c r="F827" s="187" t="s">
        <v>23</v>
      </c>
      <c r="G827" s="187" t="s">
        <v>597</v>
      </c>
      <c r="H827" s="188">
        <v>1300</v>
      </c>
      <c r="I827" s="188">
        <f t="shared" si="42"/>
        <v>26624</v>
      </c>
      <c r="J827" s="188">
        <v>0</v>
      </c>
      <c r="K827" s="188">
        <f t="shared" si="39"/>
        <v>26624</v>
      </c>
      <c r="L827" s="188">
        <v>0</v>
      </c>
      <c r="M827" s="188">
        <f t="shared" si="40"/>
        <v>26624</v>
      </c>
      <c r="N827" s="189" t="s">
        <v>575</v>
      </c>
    </row>
    <row r="828" spans="1:14" ht="15.75" customHeight="1" x14ac:dyDescent="0.25">
      <c r="A828" s="477" t="s">
        <v>83</v>
      </c>
      <c r="B828" s="477"/>
      <c r="C828" s="190">
        <f>SUM(C739:C827)</f>
        <v>2340.1900000000005</v>
      </c>
      <c r="D828" s="190">
        <f>SUM(D739:D827)</f>
        <v>774.2299999999999</v>
      </c>
      <c r="E828" s="190">
        <f>SUM(E739:E827)</f>
        <v>1563.2700000000002</v>
      </c>
      <c r="F828" s="191"/>
      <c r="G828" s="191"/>
      <c r="H828" s="192">
        <f t="shared" ref="H828:M828" si="43">SUM(H739:H827)</f>
        <v>92790</v>
      </c>
      <c r="I828" s="192">
        <f t="shared" si="43"/>
        <v>1541307.9</v>
      </c>
      <c r="J828" s="192">
        <f t="shared" si="43"/>
        <v>16500</v>
      </c>
      <c r="K828" s="192">
        <f t="shared" si="43"/>
        <v>1557807.9</v>
      </c>
      <c r="L828" s="192">
        <f t="shared" si="43"/>
        <v>1120.5</v>
      </c>
      <c r="M828" s="192">
        <f t="shared" si="43"/>
        <v>1556687.4</v>
      </c>
      <c r="N828" s="191"/>
    </row>
    <row r="829" spans="1:14" ht="15.75" customHeight="1" x14ac:dyDescent="0.25"/>
    <row r="830" spans="1:14" x14ac:dyDescent="0.25"/>
    <row r="831" spans="1:14" ht="33" thickBot="1" x14ac:dyDescent="0.3">
      <c r="A831" s="455" t="s">
        <v>598</v>
      </c>
      <c r="B831" s="456"/>
      <c r="C831" s="456"/>
      <c r="D831" s="456"/>
      <c r="E831" s="456"/>
      <c r="F831" s="456"/>
      <c r="G831" s="456"/>
      <c r="H831" s="456"/>
      <c r="I831" s="456"/>
      <c r="J831" s="456"/>
      <c r="K831" s="456"/>
      <c r="L831" s="456"/>
      <c r="M831" s="456"/>
      <c r="N831" s="456"/>
    </row>
    <row r="832" spans="1:14" ht="15.75" customHeight="1" thickBot="1" x14ac:dyDescent="0.3">
      <c r="A832" s="193" t="s">
        <v>1</v>
      </c>
      <c r="B832" s="194" t="s">
        <v>2</v>
      </c>
      <c r="C832" s="194" t="s">
        <v>3</v>
      </c>
      <c r="D832" s="194" t="s">
        <v>4</v>
      </c>
      <c r="E832" s="194" t="s">
        <v>5</v>
      </c>
      <c r="F832" s="194" t="s">
        <v>6</v>
      </c>
      <c r="G832" s="194" t="s">
        <v>7</v>
      </c>
      <c r="H832" s="194" t="s">
        <v>8</v>
      </c>
      <c r="I832" s="194" t="s">
        <v>9</v>
      </c>
      <c r="J832" s="194" t="s">
        <v>10</v>
      </c>
      <c r="K832" s="194" t="s">
        <v>11</v>
      </c>
      <c r="L832" s="194" t="s">
        <v>12</v>
      </c>
      <c r="M832" s="194" t="s">
        <v>13</v>
      </c>
      <c r="N832" s="195" t="s">
        <v>14</v>
      </c>
    </row>
    <row r="833" spans="1:14" ht="15.75" customHeight="1" x14ac:dyDescent="0.25">
      <c r="A833" s="144">
        <v>45931</v>
      </c>
      <c r="B833" s="196" t="s">
        <v>67</v>
      </c>
      <c r="C833" s="196">
        <v>26.55</v>
      </c>
      <c r="D833" s="196">
        <v>9.42</v>
      </c>
      <c r="E833" s="196">
        <f t="shared" ref="E833:E913" si="44">C833-D833</f>
        <v>17.130000000000003</v>
      </c>
      <c r="F833" s="197" t="s">
        <v>35</v>
      </c>
      <c r="G833" s="196" t="s">
        <v>576</v>
      </c>
      <c r="H833" s="198">
        <v>1100</v>
      </c>
      <c r="I833" s="198">
        <f t="shared" ref="I833:I838" si="45">H833*E833</f>
        <v>18843.000000000004</v>
      </c>
      <c r="J833" s="198">
        <v>0</v>
      </c>
      <c r="K833" s="198">
        <f t="shared" ref="K833:K838" si="46">I833+J833</f>
        <v>18843.000000000004</v>
      </c>
      <c r="L833" s="198">
        <v>0</v>
      </c>
      <c r="M833" s="198">
        <f t="shared" ref="M833:M838" si="47">K833-L833</f>
        <v>18843.000000000004</v>
      </c>
      <c r="N833" s="199" t="s">
        <v>575</v>
      </c>
    </row>
    <row r="834" spans="1:14" ht="15.75" customHeight="1" x14ac:dyDescent="0.25">
      <c r="A834" s="141">
        <v>45931</v>
      </c>
      <c r="B834" s="184" t="s">
        <v>49</v>
      </c>
      <c r="C834" s="184">
        <v>28.87</v>
      </c>
      <c r="D834" s="184">
        <v>9.42</v>
      </c>
      <c r="E834" s="184">
        <f t="shared" si="44"/>
        <v>19.450000000000003</v>
      </c>
      <c r="F834" s="184" t="s">
        <v>35</v>
      </c>
      <c r="G834" s="184" t="s">
        <v>576</v>
      </c>
      <c r="H834" s="139">
        <v>1100</v>
      </c>
      <c r="I834" s="139">
        <f t="shared" si="45"/>
        <v>21395.000000000004</v>
      </c>
      <c r="J834" s="139">
        <v>0</v>
      </c>
      <c r="K834" s="139">
        <f t="shared" si="46"/>
        <v>21395.000000000004</v>
      </c>
      <c r="L834" s="139">
        <v>0</v>
      </c>
      <c r="M834" s="139">
        <f t="shared" si="47"/>
        <v>21395.000000000004</v>
      </c>
      <c r="N834" s="185" t="s">
        <v>575</v>
      </c>
    </row>
    <row r="835" spans="1:14" ht="15.75" customHeight="1" x14ac:dyDescent="0.25">
      <c r="A835" s="141">
        <v>45931</v>
      </c>
      <c r="B835" s="184" t="s">
        <v>577</v>
      </c>
      <c r="C835" s="184">
        <v>30.51</v>
      </c>
      <c r="D835" s="184">
        <v>9.65</v>
      </c>
      <c r="E835" s="184">
        <f t="shared" si="44"/>
        <v>20.86</v>
      </c>
      <c r="F835" s="184" t="s">
        <v>23</v>
      </c>
      <c r="G835" s="184" t="s">
        <v>597</v>
      </c>
      <c r="H835" s="139">
        <v>1300</v>
      </c>
      <c r="I835" s="139">
        <f t="shared" si="45"/>
        <v>27118</v>
      </c>
      <c r="J835" s="139">
        <v>0</v>
      </c>
      <c r="K835" s="139">
        <f t="shared" si="46"/>
        <v>27118</v>
      </c>
      <c r="L835" s="139">
        <v>0</v>
      </c>
      <c r="M835" s="139">
        <f t="shared" si="47"/>
        <v>27118</v>
      </c>
      <c r="N835" s="185" t="s">
        <v>575</v>
      </c>
    </row>
    <row r="836" spans="1:14" ht="15.75" customHeight="1" x14ac:dyDescent="0.25">
      <c r="A836" s="141">
        <v>45931</v>
      </c>
      <c r="B836" s="184" t="s">
        <v>51</v>
      </c>
      <c r="C836" s="184">
        <v>31.32</v>
      </c>
      <c r="D836" s="184">
        <v>9.51</v>
      </c>
      <c r="E836" s="184">
        <f t="shared" si="44"/>
        <v>21.810000000000002</v>
      </c>
      <c r="F836" s="184" t="s">
        <v>23</v>
      </c>
      <c r="G836" s="184" t="s">
        <v>597</v>
      </c>
      <c r="H836" s="139">
        <v>1300</v>
      </c>
      <c r="I836" s="139">
        <f t="shared" si="45"/>
        <v>28353.000000000004</v>
      </c>
      <c r="J836" s="139">
        <v>0</v>
      </c>
      <c r="K836" s="139">
        <f t="shared" si="46"/>
        <v>28353.000000000004</v>
      </c>
      <c r="L836" s="139">
        <v>0</v>
      </c>
      <c r="M836" s="139">
        <f t="shared" si="47"/>
        <v>28353.000000000004</v>
      </c>
      <c r="N836" s="185" t="s">
        <v>575</v>
      </c>
    </row>
    <row r="837" spans="1:14" ht="15.75" customHeight="1" x14ac:dyDescent="0.25">
      <c r="A837" s="141">
        <v>45931</v>
      </c>
      <c r="B837" s="184" t="s">
        <v>67</v>
      </c>
      <c r="C837" s="184">
        <v>30.83</v>
      </c>
      <c r="D837" s="184">
        <v>9.35</v>
      </c>
      <c r="E837" s="184">
        <f t="shared" si="44"/>
        <v>21.479999999999997</v>
      </c>
      <c r="F837" s="184" t="s">
        <v>35</v>
      </c>
      <c r="G837" s="184" t="s">
        <v>576</v>
      </c>
      <c r="H837" s="139">
        <v>1100</v>
      </c>
      <c r="I837" s="139">
        <f t="shared" si="45"/>
        <v>23627.999999999996</v>
      </c>
      <c r="J837" s="139">
        <v>0</v>
      </c>
      <c r="K837" s="139">
        <f t="shared" si="46"/>
        <v>23627.999999999996</v>
      </c>
      <c r="L837" s="139">
        <v>0</v>
      </c>
      <c r="M837" s="139">
        <f t="shared" si="47"/>
        <v>23627.999999999996</v>
      </c>
      <c r="N837" s="185" t="s">
        <v>575</v>
      </c>
    </row>
    <row r="838" spans="1:14" ht="15.75" customHeight="1" x14ac:dyDescent="0.25">
      <c r="A838" s="141">
        <v>45931</v>
      </c>
      <c r="B838" s="184" t="s">
        <v>577</v>
      </c>
      <c r="C838" s="184">
        <v>29.61</v>
      </c>
      <c r="D838" s="184">
        <v>9.69</v>
      </c>
      <c r="E838" s="184">
        <f t="shared" si="44"/>
        <v>19.920000000000002</v>
      </c>
      <c r="F838" s="184" t="s">
        <v>35</v>
      </c>
      <c r="G838" s="184" t="s">
        <v>576</v>
      </c>
      <c r="H838" s="139">
        <v>1100</v>
      </c>
      <c r="I838" s="139">
        <f t="shared" si="45"/>
        <v>21912.000000000004</v>
      </c>
      <c r="J838" s="139">
        <v>0</v>
      </c>
      <c r="K838" s="139">
        <f t="shared" si="46"/>
        <v>21912.000000000004</v>
      </c>
      <c r="L838" s="139">
        <v>0</v>
      </c>
      <c r="M838" s="139">
        <f t="shared" si="47"/>
        <v>21912.000000000004</v>
      </c>
      <c r="N838" s="185" t="s">
        <v>575</v>
      </c>
    </row>
    <row r="839" spans="1:14" ht="15.75" customHeight="1" x14ac:dyDescent="0.25">
      <c r="A839" s="270">
        <v>45932</v>
      </c>
      <c r="B839" s="184" t="s">
        <v>49</v>
      </c>
      <c r="C839" s="184">
        <v>30.54</v>
      </c>
      <c r="D839" s="184">
        <v>9.85</v>
      </c>
      <c r="E839" s="184">
        <f t="shared" si="44"/>
        <v>20.689999999999998</v>
      </c>
      <c r="F839" s="271" t="s">
        <v>35</v>
      </c>
      <c r="G839" s="271" t="s">
        <v>576</v>
      </c>
      <c r="H839" s="139">
        <v>1100</v>
      </c>
      <c r="I839" s="139">
        <f t="shared" ref="I839:I846" si="48">H839*E839</f>
        <v>22758.999999999996</v>
      </c>
      <c r="J839" s="139">
        <v>0</v>
      </c>
      <c r="K839" s="139">
        <f t="shared" ref="K839:K846" si="49">I839+J839</f>
        <v>22758.999999999996</v>
      </c>
      <c r="L839" s="139">
        <v>0</v>
      </c>
      <c r="M839" s="139">
        <f t="shared" ref="M839:M846" si="50">K839-L839</f>
        <v>22758.999999999996</v>
      </c>
      <c r="N839" s="185" t="s">
        <v>575</v>
      </c>
    </row>
    <row r="840" spans="1:14" ht="15.75" customHeight="1" x14ac:dyDescent="0.25">
      <c r="A840" s="270">
        <v>45932</v>
      </c>
      <c r="B840" s="271" t="s">
        <v>51</v>
      </c>
      <c r="C840" s="184">
        <v>30.08</v>
      </c>
      <c r="D840" s="184">
        <v>9.56</v>
      </c>
      <c r="E840" s="184">
        <f t="shared" si="44"/>
        <v>20.519999999999996</v>
      </c>
      <c r="F840" s="271" t="s">
        <v>35</v>
      </c>
      <c r="G840" s="271" t="s">
        <v>576</v>
      </c>
      <c r="H840" s="139">
        <v>1100</v>
      </c>
      <c r="I840" s="139">
        <f t="shared" si="48"/>
        <v>22571.999999999996</v>
      </c>
      <c r="J840" s="139">
        <v>0</v>
      </c>
      <c r="K840" s="139">
        <f t="shared" si="49"/>
        <v>22571.999999999996</v>
      </c>
      <c r="L840" s="139">
        <v>0</v>
      </c>
      <c r="M840" s="139">
        <f t="shared" si="50"/>
        <v>22571.999999999996</v>
      </c>
      <c r="N840" s="185" t="s">
        <v>575</v>
      </c>
    </row>
    <row r="841" spans="1:14" ht="15.75" customHeight="1" x14ac:dyDescent="0.25">
      <c r="A841" s="270">
        <v>45932</v>
      </c>
      <c r="B841" s="271" t="s">
        <v>67</v>
      </c>
      <c r="C841" s="184">
        <v>31.41</v>
      </c>
      <c r="D841" s="184">
        <v>9.3000000000000007</v>
      </c>
      <c r="E841" s="184">
        <f t="shared" si="44"/>
        <v>22.11</v>
      </c>
      <c r="F841" s="271" t="s">
        <v>18</v>
      </c>
      <c r="G841" s="271" t="s">
        <v>135</v>
      </c>
      <c r="H841" s="139">
        <v>1200</v>
      </c>
      <c r="I841" s="139">
        <f t="shared" si="48"/>
        <v>26532</v>
      </c>
      <c r="J841" s="139">
        <v>1000</v>
      </c>
      <c r="K841" s="139">
        <f t="shared" si="49"/>
        <v>27532</v>
      </c>
      <c r="L841" s="139">
        <v>32</v>
      </c>
      <c r="M841" s="139">
        <f t="shared" si="50"/>
        <v>27500</v>
      </c>
      <c r="N841" s="272" t="s">
        <v>20</v>
      </c>
    </row>
    <row r="842" spans="1:14" ht="15.75" customHeight="1" x14ac:dyDescent="0.25">
      <c r="A842" s="183">
        <v>45934</v>
      </c>
      <c r="B842" s="271" t="s">
        <v>92</v>
      </c>
      <c r="C842" s="184">
        <v>6.88</v>
      </c>
      <c r="D842" s="184">
        <v>3.32</v>
      </c>
      <c r="E842" s="184">
        <f t="shared" si="44"/>
        <v>3.56</v>
      </c>
      <c r="F842" s="271" t="s">
        <v>23</v>
      </c>
      <c r="G842" s="271" t="s">
        <v>709</v>
      </c>
      <c r="H842" s="139">
        <v>1450</v>
      </c>
      <c r="I842" s="139">
        <f t="shared" si="48"/>
        <v>5162</v>
      </c>
      <c r="J842" s="139">
        <v>0</v>
      </c>
      <c r="K842" s="139">
        <f t="shared" si="49"/>
        <v>5162</v>
      </c>
      <c r="L842" s="139">
        <v>2</v>
      </c>
      <c r="M842" s="139">
        <f t="shared" si="50"/>
        <v>5160</v>
      </c>
      <c r="N842" s="272" t="s">
        <v>20</v>
      </c>
    </row>
    <row r="843" spans="1:14" ht="15.75" customHeight="1" x14ac:dyDescent="0.25">
      <c r="A843" s="183">
        <v>45934</v>
      </c>
      <c r="B843" s="271" t="s">
        <v>49</v>
      </c>
      <c r="C843" s="184">
        <v>29.9</v>
      </c>
      <c r="D843" s="184">
        <v>9.7899999999999991</v>
      </c>
      <c r="E843" s="184">
        <f t="shared" si="44"/>
        <v>20.11</v>
      </c>
      <c r="F843" s="271" t="s">
        <v>708</v>
      </c>
      <c r="G843" s="271" t="s">
        <v>710</v>
      </c>
      <c r="H843" s="139">
        <v>1080</v>
      </c>
      <c r="I843" s="139">
        <f t="shared" si="48"/>
        <v>21718.799999999999</v>
      </c>
      <c r="J843" s="139">
        <v>1500</v>
      </c>
      <c r="K843" s="139">
        <f t="shared" si="49"/>
        <v>23218.799999999999</v>
      </c>
      <c r="L843" s="139">
        <v>2818.8</v>
      </c>
      <c r="M843" s="139">
        <f t="shared" si="50"/>
        <v>20400</v>
      </c>
      <c r="N843" s="272" t="s">
        <v>25</v>
      </c>
    </row>
    <row r="844" spans="1:14" ht="15.75" customHeight="1" x14ac:dyDescent="0.25">
      <c r="A844" s="183">
        <v>45936</v>
      </c>
      <c r="B844" s="271" t="s">
        <v>49</v>
      </c>
      <c r="C844" s="184">
        <v>31.98</v>
      </c>
      <c r="D844" s="184">
        <v>9.3699999999999992</v>
      </c>
      <c r="E844" s="184">
        <f t="shared" si="44"/>
        <v>22.61</v>
      </c>
      <c r="F844" s="271" t="s">
        <v>38</v>
      </c>
      <c r="G844" s="271" t="s">
        <v>589</v>
      </c>
      <c r="H844" s="139">
        <v>500</v>
      </c>
      <c r="I844" s="139">
        <f t="shared" si="48"/>
        <v>11305</v>
      </c>
      <c r="J844" s="139">
        <v>0</v>
      </c>
      <c r="K844" s="139">
        <f t="shared" si="49"/>
        <v>11305</v>
      </c>
      <c r="L844" s="139">
        <v>5</v>
      </c>
      <c r="M844" s="139">
        <f t="shared" si="50"/>
        <v>11300</v>
      </c>
      <c r="N844" s="272" t="s">
        <v>20</v>
      </c>
    </row>
    <row r="845" spans="1:14" ht="15.75" customHeight="1" x14ac:dyDescent="0.25">
      <c r="A845" s="183">
        <v>45937</v>
      </c>
      <c r="B845" s="271" t="s">
        <v>67</v>
      </c>
      <c r="C845" s="184">
        <v>28.69</v>
      </c>
      <c r="D845" s="184">
        <v>9.48</v>
      </c>
      <c r="E845" s="184">
        <f t="shared" si="44"/>
        <v>19.21</v>
      </c>
      <c r="F845" s="271" t="s">
        <v>38</v>
      </c>
      <c r="G845" s="271" t="s">
        <v>589</v>
      </c>
      <c r="H845" s="139">
        <v>500</v>
      </c>
      <c r="I845" s="139">
        <f t="shared" si="48"/>
        <v>9605</v>
      </c>
      <c r="J845" s="139">
        <v>0</v>
      </c>
      <c r="K845" s="139">
        <f t="shared" si="49"/>
        <v>9605</v>
      </c>
      <c r="L845" s="139">
        <v>0</v>
      </c>
      <c r="M845" s="139">
        <f t="shared" si="50"/>
        <v>9605</v>
      </c>
      <c r="N845" s="272" t="s">
        <v>25</v>
      </c>
    </row>
    <row r="846" spans="1:14" ht="15.75" customHeight="1" x14ac:dyDescent="0.25">
      <c r="A846" s="183">
        <v>45937</v>
      </c>
      <c r="B846" s="271" t="s">
        <v>577</v>
      </c>
      <c r="C846" s="184">
        <v>29.37</v>
      </c>
      <c r="D846" s="184">
        <v>9.66</v>
      </c>
      <c r="E846" s="184">
        <f t="shared" si="44"/>
        <v>19.71</v>
      </c>
      <c r="F846" s="271" t="s">
        <v>23</v>
      </c>
      <c r="G846" s="271" t="s">
        <v>589</v>
      </c>
      <c r="H846" s="139">
        <v>1370</v>
      </c>
      <c r="I846" s="139">
        <f t="shared" si="48"/>
        <v>27002.7</v>
      </c>
      <c r="J846" s="139">
        <v>0</v>
      </c>
      <c r="K846" s="139">
        <f t="shared" si="49"/>
        <v>27002.7</v>
      </c>
      <c r="L846" s="139">
        <v>0</v>
      </c>
      <c r="M846" s="139">
        <f t="shared" si="50"/>
        <v>27002.7</v>
      </c>
      <c r="N846" s="272" t="s">
        <v>25</v>
      </c>
    </row>
    <row r="847" spans="1:14" ht="15.75" customHeight="1" x14ac:dyDescent="0.25">
      <c r="A847" s="183">
        <v>45938</v>
      </c>
      <c r="B847" s="271" t="s">
        <v>577</v>
      </c>
      <c r="C847" s="184">
        <v>29.5</v>
      </c>
      <c r="D847" s="184">
        <v>9.83</v>
      </c>
      <c r="E847" s="184">
        <f t="shared" si="44"/>
        <v>19.670000000000002</v>
      </c>
      <c r="F847" s="271" t="s">
        <v>23</v>
      </c>
      <c r="G847" s="271" t="s">
        <v>589</v>
      </c>
      <c r="H847" s="139">
        <v>1370</v>
      </c>
      <c r="I847" s="139">
        <f t="shared" ref="I847:I860" si="51">H847*E847</f>
        <v>26947.9</v>
      </c>
      <c r="J847" s="139">
        <v>0</v>
      </c>
      <c r="K847" s="139">
        <f t="shared" ref="K847:K860" si="52">I847+J847</f>
        <v>26947.9</v>
      </c>
      <c r="L847" s="139">
        <v>0</v>
      </c>
      <c r="M847" s="139">
        <f t="shared" ref="M847:M860" si="53">K847-L847</f>
        <v>26947.9</v>
      </c>
      <c r="N847" s="272" t="s">
        <v>25</v>
      </c>
    </row>
    <row r="848" spans="1:14" ht="15.75" customHeight="1" x14ac:dyDescent="0.25">
      <c r="A848" s="183">
        <v>45938</v>
      </c>
      <c r="B848" s="271" t="s">
        <v>51</v>
      </c>
      <c r="C848" s="184">
        <v>29.04</v>
      </c>
      <c r="D848" s="184">
        <v>9.23</v>
      </c>
      <c r="E848" s="184">
        <f t="shared" si="44"/>
        <v>19.809999999999999</v>
      </c>
      <c r="F848" s="271" t="s">
        <v>23</v>
      </c>
      <c r="G848" s="271" t="s">
        <v>589</v>
      </c>
      <c r="H848" s="139">
        <v>1370</v>
      </c>
      <c r="I848" s="139">
        <f t="shared" si="51"/>
        <v>27139.699999999997</v>
      </c>
      <c r="J848" s="139">
        <v>0</v>
      </c>
      <c r="K848" s="139">
        <f t="shared" si="52"/>
        <v>27139.699999999997</v>
      </c>
      <c r="L848" s="139">
        <v>0</v>
      </c>
      <c r="M848" s="139">
        <f t="shared" si="53"/>
        <v>27139.699999999997</v>
      </c>
      <c r="N848" s="272" t="s">
        <v>25</v>
      </c>
    </row>
    <row r="849" spans="1:14" ht="15.75" customHeight="1" x14ac:dyDescent="0.25">
      <c r="A849" s="183">
        <v>45939</v>
      </c>
      <c r="B849" s="271" t="s">
        <v>67</v>
      </c>
      <c r="C849" s="184">
        <v>24.84</v>
      </c>
      <c r="D849" s="184">
        <v>9.6999999999999993</v>
      </c>
      <c r="E849" s="184">
        <f t="shared" si="44"/>
        <v>15.14</v>
      </c>
      <c r="F849" s="271" t="s">
        <v>23</v>
      </c>
      <c r="G849" s="271" t="s">
        <v>167</v>
      </c>
      <c r="H849" s="139">
        <v>1350</v>
      </c>
      <c r="I849" s="139">
        <f t="shared" si="51"/>
        <v>20439</v>
      </c>
      <c r="J849" s="139">
        <v>701</v>
      </c>
      <c r="K849" s="139">
        <f t="shared" si="52"/>
        <v>21140</v>
      </c>
      <c r="L849" s="139">
        <v>0</v>
      </c>
      <c r="M849" s="139">
        <f t="shared" si="53"/>
        <v>21140</v>
      </c>
      <c r="N849" s="272" t="s">
        <v>25</v>
      </c>
    </row>
    <row r="850" spans="1:14" ht="15.75" customHeight="1" x14ac:dyDescent="0.25">
      <c r="A850" s="183">
        <v>45941</v>
      </c>
      <c r="B850" s="271" t="s">
        <v>88</v>
      </c>
      <c r="C850" s="184">
        <v>29.5</v>
      </c>
      <c r="D850" s="184">
        <v>9.85</v>
      </c>
      <c r="E850" s="184">
        <f t="shared" si="44"/>
        <v>19.649999999999999</v>
      </c>
      <c r="F850" s="271" t="s">
        <v>23</v>
      </c>
      <c r="G850" s="271" t="s">
        <v>576</v>
      </c>
      <c r="H850" s="139">
        <v>1300</v>
      </c>
      <c r="I850" s="139">
        <f t="shared" si="51"/>
        <v>25544.999999999996</v>
      </c>
      <c r="J850" s="139">
        <v>0</v>
      </c>
      <c r="K850" s="139">
        <f t="shared" si="52"/>
        <v>25544.999999999996</v>
      </c>
      <c r="L850" s="139">
        <v>0</v>
      </c>
      <c r="M850" s="139">
        <f t="shared" si="53"/>
        <v>25544.999999999996</v>
      </c>
      <c r="N850" s="185" t="s">
        <v>575</v>
      </c>
    </row>
    <row r="851" spans="1:14" ht="15.75" customHeight="1" x14ac:dyDescent="0.25">
      <c r="A851" s="183">
        <v>45941</v>
      </c>
      <c r="B851" s="271" t="s">
        <v>67</v>
      </c>
      <c r="C851" s="184">
        <v>29.43</v>
      </c>
      <c r="D851" s="184">
        <v>9.68</v>
      </c>
      <c r="E851" s="184">
        <f t="shared" si="44"/>
        <v>19.75</v>
      </c>
      <c r="F851" s="271" t="s">
        <v>23</v>
      </c>
      <c r="G851" s="271" t="s">
        <v>576</v>
      </c>
      <c r="H851" s="139">
        <v>1300</v>
      </c>
      <c r="I851" s="139">
        <f t="shared" si="51"/>
        <v>25675</v>
      </c>
      <c r="J851" s="139">
        <v>0</v>
      </c>
      <c r="K851" s="139">
        <f t="shared" si="52"/>
        <v>25675</v>
      </c>
      <c r="L851" s="139">
        <v>0</v>
      </c>
      <c r="M851" s="139">
        <f t="shared" si="53"/>
        <v>25675</v>
      </c>
      <c r="N851" s="185" t="s">
        <v>575</v>
      </c>
    </row>
    <row r="852" spans="1:14" ht="15.75" customHeight="1" x14ac:dyDescent="0.25">
      <c r="A852" s="183">
        <v>45942</v>
      </c>
      <c r="B852" s="271" t="s">
        <v>49</v>
      </c>
      <c r="C852" s="184">
        <v>26.9</v>
      </c>
      <c r="D852" s="184">
        <v>9.6199999999999992</v>
      </c>
      <c r="E852" s="184">
        <f t="shared" si="44"/>
        <v>17.28</v>
      </c>
      <c r="F852" s="271" t="s">
        <v>35</v>
      </c>
      <c r="G852" s="271" t="s">
        <v>576</v>
      </c>
      <c r="H852" s="139">
        <v>1100</v>
      </c>
      <c r="I852" s="139">
        <f t="shared" si="51"/>
        <v>19008</v>
      </c>
      <c r="J852" s="139">
        <v>0</v>
      </c>
      <c r="K852" s="139">
        <f t="shared" si="52"/>
        <v>19008</v>
      </c>
      <c r="L852" s="139">
        <v>0</v>
      </c>
      <c r="M852" s="139">
        <f t="shared" si="53"/>
        <v>19008</v>
      </c>
      <c r="N852" s="185" t="s">
        <v>575</v>
      </c>
    </row>
    <row r="853" spans="1:14" ht="15.75" customHeight="1" x14ac:dyDescent="0.25">
      <c r="A853" s="183">
        <v>45942</v>
      </c>
      <c r="B853" s="271" t="s">
        <v>51</v>
      </c>
      <c r="C853" s="184">
        <v>28.69</v>
      </c>
      <c r="D853" s="184">
        <v>9.52</v>
      </c>
      <c r="E853" s="184">
        <f t="shared" si="44"/>
        <v>19.170000000000002</v>
      </c>
      <c r="F853" s="271" t="s">
        <v>35</v>
      </c>
      <c r="G853" s="271" t="s">
        <v>576</v>
      </c>
      <c r="H853" s="139">
        <v>1100</v>
      </c>
      <c r="I853" s="139">
        <f t="shared" si="51"/>
        <v>21087.000000000004</v>
      </c>
      <c r="J853" s="139">
        <v>0</v>
      </c>
      <c r="K853" s="139">
        <f t="shared" si="52"/>
        <v>21087.000000000004</v>
      </c>
      <c r="L853" s="139">
        <v>0</v>
      </c>
      <c r="M853" s="139">
        <f t="shared" si="53"/>
        <v>21087.000000000004</v>
      </c>
      <c r="N853" s="185" t="s">
        <v>575</v>
      </c>
    </row>
    <row r="854" spans="1:14" ht="15.75" customHeight="1" x14ac:dyDescent="0.25">
      <c r="A854" s="183">
        <v>45942</v>
      </c>
      <c r="B854" s="271" t="s">
        <v>67</v>
      </c>
      <c r="C854" s="184">
        <v>28.18</v>
      </c>
      <c r="D854" s="184">
        <v>9.5299999999999994</v>
      </c>
      <c r="E854" s="184">
        <f t="shared" si="44"/>
        <v>18.649999999999999</v>
      </c>
      <c r="F854" s="271" t="s">
        <v>35</v>
      </c>
      <c r="G854" s="271" t="s">
        <v>576</v>
      </c>
      <c r="H854" s="139">
        <v>1100</v>
      </c>
      <c r="I854" s="139">
        <f t="shared" si="51"/>
        <v>20515</v>
      </c>
      <c r="J854" s="139">
        <v>0</v>
      </c>
      <c r="K854" s="139">
        <f t="shared" si="52"/>
        <v>20515</v>
      </c>
      <c r="L854" s="139">
        <v>0</v>
      </c>
      <c r="M854" s="139">
        <f t="shared" si="53"/>
        <v>20515</v>
      </c>
      <c r="N854" s="185" t="s">
        <v>575</v>
      </c>
    </row>
    <row r="855" spans="1:14" ht="15.75" customHeight="1" x14ac:dyDescent="0.25">
      <c r="A855" s="183">
        <v>45942</v>
      </c>
      <c r="B855" s="271" t="s">
        <v>88</v>
      </c>
      <c r="C855" s="184">
        <v>29.64</v>
      </c>
      <c r="D855" s="184">
        <v>9.86</v>
      </c>
      <c r="E855" s="184">
        <f t="shared" si="44"/>
        <v>19.78</v>
      </c>
      <c r="F855" s="271" t="s">
        <v>35</v>
      </c>
      <c r="G855" s="271" t="s">
        <v>576</v>
      </c>
      <c r="H855" s="139">
        <v>1100</v>
      </c>
      <c r="I855" s="139">
        <f t="shared" si="51"/>
        <v>21758</v>
      </c>
      <c r="J855" s="139">
        <v>0</v>
      </c>
      <c r="K855" s="139">
        <f t="shared" si="52"/>
        <v>21758</v>
      </c>
      <c r="L855" s="139">
        <v>0</v>
      </c>
      <c r="M855" s="139">
        <f t="shared" si="53"/>
        <v>21758</v>
      </c>
      <c r="N855" s="185" t="s">
        <v>575</v>
      </c>
    </row>
    <row r="856" spans="1:14" ht="15.75" customHeight="1" x14ac:dyDescent="0.25">
      <c r="A856" s="183">
        <v>45942</v>
      </c>
      <c r="B856" s="271" t="s">
        <v>577</v>
      </c>
      <c r="C856" s="184">
        <v>21.5</v>
      </c>
      <c r="D856" s="184">
        <v>9.64</v>
      </c>
      <c r="E856" s="184">
        <f t="shared" si="44"/>
        <v>11.86</v>
      </c>
      <c r="F856" s="271" t="s">
        <v>23</v>
      </c>
      <c r="G856" s="271" t="s">
        <v>167</v>
      </c>
      <c r="H856" s="139">
        <v>1350</v>
      </c>
      <c r="I856" s="139">
        <f t="shared" si="51"/>
        <v>16011</v>
      </c>
      <c r="J856" s="139">
        <v>700</v>
      </c>
      <c r="K856" s="139">
        <f t="shared" si="52"/>
        <v>16711</v>
      </c>
      <c r="L856" s="139">
        <v>11</v>
      </c>
      <c r="M856" s="139">
        <f t="shared" si="53"/>
        <v>16700</v>
      </c>
      <c r="N856" s="272" t="s">
        <v>20</v>
      </c>
    </row>
    <row r="857" spans="1:14" ht="15.75" customHeight="1" x14ac:dyDescent="0.25">
      <c r="A857" s="183">
        <v>45942</v>
      </c>
      <c r="B857" s="271" t="s">
        <v>92</v>
      </c>
      <c r="C857" s="184">
        <v>7.41</v>
      </c>
      <c r="D857" s="184">
        <v>3.31</v>
      </c>
      <c r="E857" s="184">
        <f t="shared" si="44"/>
        <v>4.0999999999999996</v>
      </c>
      <c r="F857" s="271" t="s">
        <v>18</v>
      </c>
      <c r="G857" s="271" t="s">
        <v>711</v>
      </c>
      <c r="H857" s="139">
        <v>1200</v>
      </c>
      <c r="I857" s="139">
        <f t="shared" si="51"/>
        <v>4920</v>
      </c>
      <c r="J857" s="139">
        <v>0</v>
      </c>
      <c r="K857" s="139">
        <f t="shared" si="52"/>
        <v>4920</v>
      </c>
      <c r="L857" s="139">
        <v>0</v>
      </c>
      <c r="M857" s="139">
        <f t="shared" si="53"/>
        <v>4920</v>
      </c>
      <c r="N857" s="272" t="s">
        <v>25</v>
      </c>
    </row>
    <row r="858" spans="1:14" ht="15.75" customHeight="1" x14ac:dyDescent="0.25">
      <c r="A858" s="183">
        <v>45944</v>
      </c>
      <c r="B858" s="271" t="s">
        <v>49</v>
      </c>
      <c r="C858" s="184">
        <v>29.53</v>
      </c>
      <c r="D858" s="184">
        <v>9.64</v>
      </c>
      <c r="E858" s="184">
        <f t="shared" si="44"/>
        <v>19.89</v>
      </c>
      <c r="F858" s="271" t="s">
        <v>23</v>
      </c>
      <c r="G858" s="271" t="s">
        <v>712</v>
      </c>
      <c r="H858" s="139">
        <v>1400</v>
      </c>
      <c r="I858" s="139">
        <f t="shared" si="51"/>
        <v>27846</v>
      </c>
      <c r="J858" s="139">
        <v>2000</v>
      </c>
      <c r="K858" s="139">
        <f t="shared" si="52"/>
        <v>29846</v>
      </c>
      <c r="L858" s="139">
        <v>46</v>
      </c>
      <c r="M858" s="139">
        <f t="shared" si="53"/>
        <v>29800</v>
      </c>
      <c r="N858" s="272" t="s">
        <v>20</v>
      </c>
    </row>
    <row r="859" spans="1:14" ht="15.75" customHeight="1" x14ac:dyDescent="0.25">
      <c r="A859" s="183">
        <v>45944</v>
      </c>
      <c r="B859" s="271" t="s">
        <v>88</v>
      </c>
      <c r="C859" s="184">
        <v>30.05</v>
      </c>
      <c r="D859" s="184">
        <v>9.6999999999999993</v>
      </c>
      <c r="E859" s="184">
        <f t="shared" si="44"/>
        <v>20.350000000000001</v>
      </c>
      <c r="F859" s="271" t="s">
        <v>38</v>
      </c>
      <c r="G859" s="271" t="s">
        <v>576</v>
      </c>
      <c r="H859" s="139">
        <v>500</v>
      </c>
      <c r="I859" s="139">
        <f t="shared" si="51"/>
        <v>10175</v>
      </c>
      <c r="J859" s="139">
        <v>0</v>
      </c>
      <c r="K859" s="139">
        <f t="shared" si="52"/>
        <v>10175</v>
      </c>
      <c r="L859" s="139">
        <v>0</v>
      </c>
      <c r="M859" s="139">
        <f t="shared" si="53"/>
        <v>10175</v>
      </c>
      <c r="N859" s="185" t="s">
        <v>575</v>
      </c>
    </row>
    <row r="860" spans="1:14" ht="15.75" customHeight="1" x14ac:dyDescent="0.25">
      <c r="A860" s="183">
        <v>45944</v>
      </c>
      <c r="B860" s="271" t="s">
        <v>577</v>
      </c>
      <c r="C860" s="184">
        <v>28.22</v>
      </c>
      <c r="D860" s="184">
        <v>9.39</v>
      </c>
      <c r="E860" s="184">
        <f t="shared" si="44"/>
        <v>18.829999999999998</v>
      </c>
      <c r="F860" s="271" t="s">
        <v>38</v>
      </c>
      <c r="G860" s="271" t="s">
        <v>576</v>
      </c>
      <c r="H860" s="139">
        <v>500</v>
      </c>
      <c r="I860" s="139">
        <f t="shared" si="51"/>
        <v>9415</v>
      </c>
      <c r="J860" s="139">
        <v>0</v>
      </c>
      <c r="K860" s="139">
        <f t="shared" si="52"/>
        <v>9415</v>
      </c>
      <c r="L860" s="139">
        <v>0</v>
      </c>
      <c r="M860" s="139">
        <f t="shared" si="53"/>
        <v>9415</v>
      </c>
      <c r="N860" s="185" t="s">
        <v>575</v>
      </c>
    </row>
    <row r="861" spans="1:14" ht="15.75" customHeight="1" x14ac:dyDescent="0.25">
      <c r="A861" s="183">
        <v>45945</v>
      </c>
      <c r="B861" s="271" t="s">
        <v>577</v>
      </c>
      <c r="C861" s="184">
        <v>28.2</v>
      </c>
      <c r="D861" s="184">
        <v>9.2899999999999991</v>
      </c>
      <c r="E861" s="184">
        <f t="shared" si="44"/>
        <v>18.91</v>
      </c>
      <c r="F861" s="271" t="s">
        <v>38</v>
      </c>
      <c r="G861" s="271" t="s">
        <v>576</v>
      </c>
      <c r="H861" s="139">
        <v>500</v>
      </c>
      <c r="I861" s="139">
        <f t="shared" ref="I861" si="54">H861*E861</f>
        <v>9455</v>
      </c>
      <c r="J861" s="139">
        <v>0</v>
      </c>
      <c r="K861" s="139">
        <f t="shared" ref="K861" si="55">I861+J861</f>
        <v>9455</v>
      </c>
      <c r="L861" s="139">
        <v>0</v>
      </c>
      <c r="M861" s="139">
        <f t="shared" ref="M861" si="56">K861-L861</f>
        <v>9455</v>
      </c>
      <c r="N861" s="185" t="s">
        <v>575</v>
      </c>
    </row>
    <row r="862" spans="1:14" ht="15.75" customHeight="1" x14ac:dyDescent="0.25">
      <c r="A862" s="183">
        <v>45945</v>
      </c>
      <c r="B862" s="271" t="s">
        <v>49</v>
      </c>
      <c r="C862" s="184">
        <v>29.46</v>
      </c>
      <c r="D862" s="184">
        <v>9.5399999999999991</v>
      </c>
      <c r="E862" s="184">
        <f t="shared" si="44"/>
        <v>19.920000000000002</v>
      </c>
      <c r="F862" s="271" t="s">
        <v>38</v>
      </c>
      <c r="G862" s="271" t="s">
        <v>576</v>
      </c>
      <c r="H862" s="139">
        <v>500</v>
      </c>
      <c r="I862" s="139">
        <f t="shared" ref="I862:I863" si="57">H862*E862</f>
        <v>9960</v>
      </c>
      <c r="J862" s="139">
        <v>0</v>
      </c>
      <c r="K862" s="139">
        <f t="shared" ref="K862:K863" si="58">I862+J862</f>
        <v>9960</v>
      </c>
      <c r="L862" s="139">
        <v>0</v>
      </c>
      <c r="M862" s="139">
        <f t="shared" ref="M862:M863" si="59">K862-L862</f>
        <v>9960</v>
      </c>
      <c r="N862" s="185" t="s">
        <v>575</v>
      </c>
    </row>
    <row r="863" spans="1:14" ht="15.75" customHeight="1" x14ac:dyDescent="0.25">
      <c r="A863" s="183">
        <v>45945</v>
      </c>
      <c r="B863" s="271" t="s">
        <v>88</v>
      </c>
      <c r="C863" s="184">
        <v>30.01</v>
      </c>
      <c r="D863" s="184">
        <v>9.94</v>
      </c>
      <c r="E863" s="184">
        <f t="shared" si="44"/>
        <v>20.07</v>
      </c>
      <c r="F863" s="271" t="s">
        <v>38</v>
      </c>
      <c r="G863" s="271" t="s">
        <v>576</v>
      </c>
      <c r="H863" s="139">
        <v>500</v>
      </c>
      <c r="I863" s="139">
        <f t="shared" si="57"/>
        <v>10035</v>
      </c>
      <c r="J863" s="139">
        <v>0</v>
      </c>
      <c r="K863" s="139">
        <f t="shared" si="58"/>
        <v>10035</v>
      </c>
      <c r="L863" s="139">
        <v>0</v>
      </c>
      <c r="M863" s="139">
        <f t="shared" si="59"/>
        <v>10035</v>
      </c>
      <c r="N863" s="185" t="s">
        <v>575</v>
      </c>
    </row>
    <row r="864" spans="1:14" ht="15.75" customHeight="1" x14ac:dyDescent="0.25">
      <c r="A864" s="183">
        <v>45946</v>
      </c>
      <c r="B864" s="271" t="s">
        <v>67</v>
      </c>
      <c r="C864" s="184">
        <v>31.11</v>
      </c>
      <c r="D864" s="184">
        <v>9.73</v>
      </c>
      <c r="E864" s="184">
        <f t="shared" si="44"/>
        <v>21.38</v>
      </c>
      <c r="F864" s="271" t="s">
        <v>38</v>
      </c>
      <c r="G864" s="271" t="s">
        <v>576</v>
      </c>
      <c r="H864" s="139">
        <v>500</v>
      </c>
      <c r="I864" s="139">
        <f t="shared" ref="I864:I868" si="60">H864*E864</f>
        <v>10690</v>
      </c>
      <c r="J864" s="139">
        <v>0</v>
      </c>
      <c r="K864" s="139">
        <f t="shared" ref="K864:K868" si="61">I864+J864</f>
        <v>10690</v>
      </c>
      <c r="L864" s="139">
        <v>0</v>
      </c>
      <c r="M864" s="139">
        <f t="shared" ref="M864:M868" si="62">K864-L864</f>
        <v>10690</v>
      </c>
      <c r="N864" s="185" t="s">
        <v>575</v>
      </c>
    </row>
    <row r="865" spans="1:14" ht="15.75" customHeight="1" x14ac:dyDescent="0.25">
      <c r="A865" s="183">
        <v>45946</v>
      </c>
      <c r="B865" s="271" t="s">
        <v>51</v>
      </c>
      <c r="C865" s="184">
        <v>29.87</v>
      </c>
      <c r="D865" s="184">
        <v>9.1300000000000008</v>
      </c>
      <c r="E865" s="184">
        <f t="shared" si="44"/>
        <v>20.740000000000002</v>
      </c>
      <c r="F865" s="271" t="s">
        <v>38</v>
      </c>
      <c r="G865" s="271" t="s">
        <v>576</v>
      </c>
      <c r="H865" s="139">
        <v>500</v>
      </c>
      <c r="I865" s="139">
        <f t="shared" si="60"/>
        <v>10370.000000000002</v>
      </c>
      <c r="J865" s="139">
        <v>0</v>
      </c>
      <c r="K865" s="139">
        <f t="shared" si="61"/>
        <v>10370.000000000002</v>
      </c>
      <c r="L865" s="139">
        <v>0</v>
      </c>
      <c r="M865" s="139">
        <f t="shared" si="62"/>
        <v>10370.000000000002</v>
      </c>
      <c r="N865" s="185" t="s">
        <v>575</v>
      </c>
    </row>
    <row r="866" spans="1:14" ht="15.75" customHeight="1" x14ac:dyDescent="0.25">
      <c r="A866" s="183">
        <v>45946</v>
      </c>
      <c r="B866" s="271" t="s">
        <v>51</v>
      </c>
      <c r="C866" s="184">
        <v>30.86</v>
      </c>
      <c r="D866" s="184">
        <v>9.3699999999999992</v>
      </c>
      <c r="E866" s="184">
        <f t="shared" si="44"/>
        <v>21.490000000000002</v>
      </c>
      <c r="F866" s="271" t="s">
        <v>38</v>
      </c>
      <c r="G866" s="271" t="s">
        <v>576</v>
      </c>
      <c r="H866" s="139">
        <v>500</v>
      </c>
      <c r="I866" s="139">
        <f t="shared" si="60"/>
        <v>10745.000000000002</v>
      </c>
      <c r="J866" s="139">
        <v>0</v>
      </c>
      <c r="K866" s="139">
        <f t="shared" si="61"/>
        <v>10745.000000000002</v>
      </c>
      <c r="L866" s="139">
        <v>0</v>
      </c>
      <c r="M866" s="139">
        <f t="shared" si="62"/>
        <v>10745.000000000002</v>
      </c>
      <c r="N866" s="185" t="s">
        <v>575</v>
      </c>
    </row>
    <row r="867" spans="1:14" ht="15.75" customHeight="1" x14ac:dyDescent="0.25">
      <c r="A867" s="183">
        <v>45946</v>
      </c>
      <c r="B867" s="271" t="s">
        <v>67</v>
      </c>
      <c r="C867" s="184">
        <v>29.45</v>
      </c>
      <c r="D867" s="184">
        <v>9.82</v>
      </c>
      <c r="E867" s="184">
        <f t="shared" si="44"/>
        <v>19.63</v>
      </c>
      <c r="F867" s="271" t="s">
        <v>35</v>
      </c>
      <c r="G867" s="271" t="s">
        <v>576</v>
      </c>
      <c r="H867" s="139">
        <v>1100</v>
      </c>
      <c r="I867" s="139">
        <f t="shared" si="60"/>
        <v>21593</v>
      </c>
      <c r="J867" s="139">
        <v>0</v>
      </c>
      <c r="K867" s="139">
        <f t="shared" si="61"/>
        <v>21593</v>
      </c>
      <c r="L867" s="139">
        <v>0</v>
      </c>
      <c r="M867" s="139">
        <f t="shared" si="62"/>
        <v>21593</v>
      </c>
      <c r="N867" s="185" t="s">
        <v>575</v>
      </c>
    </row>
    <row r="868" spans="1:14" ht="15.75" customHeight="1" x14ac:dyDescent="0.25">
      <c r="A868" s="183">
        <v>45946</v>
      </c>
      <c r="B868" s="271" t="s">
        <v>67</v>
      </c>
      <c r="C868" s="184">
        <v>29.18</v>
      </c>
      <c r="D868" s="184">
        <v>9.66</v>
      </c>
      <c r="E868" s="184">
        <f t="shared" si="44"/>
        <v>19.52</v>
      </c>
      <c r="F868" s="271" t="s">
        <v>35</v>
      </c>
      <c r="G868" s="271" t="s">
        <v>576</v>
      </c>
      <c r="H868" s="139">
        <v>1100</v>
      </c>
      <c r="I868" s="139">
        <f t="shared" si="60"/>
        <v>21472</v>
      </c>
      <c r="J868" s="139">
        <v>0</v>
      </c>
      <c r="K868" s="139">
        <f t="shared" si="61"/>
        <v>21472</v>
      </c>
      <c r="L868" s="139">
        <v>0</v>
      </c>
      <c r="M868" s="139">
        <f t="shared" si="62"/>
        <v>21472</v>
      </c>
      <c r="N868" s="185" t="s">
        <v>575</v>
      </c>
    </row>
    <row r="869" spans="1:14" ht="15.75" customHeight="1" x14ac:dyDescent="0.25">
      <c r="A869" s="183">
        <v>45946</v>
      </c>
      <c r="B869" s="271" t="s">
        <v>51</v>
      </c>
      <c r="C869" s="184">
        <v>29.91</v>
      </c>
      <c r="D869" s="184">
        <v>9.34</v>
      </c>
      <c r="E869" s="184">
        <f t="shared" si="44"/>
        <v>20.57</v>
      </c>
      <c r="F869" s="271" t="s">
        <v>38</v>
      </c>
      <c r="G869" s="271" t="s">
        <v>576</v>
      </c>
      <c r="H869" s="139">
        <v>500</v>
      </c>
      <c r="I869" s="139">
        <f t="shared" ref="I869:I872" si="63">H869*E869</f>
        <v>10285</v>
      </c>
      <c r="J869" s="139">
        <v>0</v>
      </c>
      <c r="K869" s="139">
        <f t="shared" ref="K869:K872" si="64">I869+J869</f>
        <v>10285</v>
      </c>
      <c r="L869" s="139">
        <v>0</v>
      </c>
      <c r="M869" s="139">
        <f t="shared" ref="M869:M872" si="65">K869-L869</f>
        <v>10285</v>
      </c>
      <c r="N869" s="185" t="s">
        <v>575</v>
      </c>
    </row>
    <row r="870" spans="1:14" ht="15.75" customHeight="1" x14ac:dyDescent="0.25">
      <c r="A870" s="183">
        <v>45947</v>
      </c>
      <c r="B870" s="271" t="s">
        <v>67</v>
      </c>
      <c r="C870" s="184">
        <v>29.36</v>
      </c>
      <c r="D870" s="184">
        <v>9.68</v>
      </c>
      <c r="E870" s="184">
        <f t="shared" si="44"/>
        <v>19.68</v>
      </c>
      <c r="F870" s="271" t="s">
        <v>35</v>
      </c>
      <c r="G870" s="271" t="s">
        <v>576</v>
      </c>
      <c r="H870" s="139">
        <v>1100</v>
      </c>
      <c r="I870" s="139">
        <f t="shared" si="63"/>
        <v>21648</v>
      </c>
      <c r="J870" s="139">
        <v>0</v>
      </c>
      <c r="K870" s="139">
        <f t="shared" si="64"/>
        <v>21648</v>
      </c>
      <c r="L870" s="139">
        <v>0</v>
      </c>
      <c r="M870" s="139">
        <f t="shared" si="65"/>
        <v>21648</v>
      </c>
      <c r="N870" s="185" t="s">
        <v>575</v>
      </c>
    </row>
    <row r="871" spans="1:14" ht="15.75" customHeight="1" x14ac:dyDescent="0.25">
      <c r="A871" s="183">
        <v>45947</v>
      </c>
      <c r="B871" s="271" t="s">
        <v>51</v>
      </c>
      <c r="C871" s="184">
        <v>29.36</v>
      </c>
      <c r="D871" s="184">
        <v>9.23</v>
      </c>
      <c r="E871" s="184">
        <f t="shared" si="44"/>
        <v>20.13</v>
      </c>
      <c r="F871" s="271" t="s">
        <v>35</v>
      </c>
      <c r="G871" s="271" t="s">
        <v>576</v>
      </c>
      <c r="H871" s="139">
        <v>1100</v>
      </c>
      <c r="I871" s="139">
        <f t="shared" si="63"/>
        <v>22143</v>
      </c>
      <c r="J871" s="139">
        <v>0</v>
      </c>
      <c r="K871" s="139">
        <f t="shared" si="64"/>
        <v>22143</v>
      </c>
      <c r="L871" s="139">
        <v>0</v>
      </c>
      <c r="M871" s="139">
        <f t="shared" si="65"/>
        <v>22143</v>
      </c>
      <c r="N871" s="185" t="s">
        <v>575</v>
      </c>
    </row>
    <row r="872" spans="1:14" ht="15.75" customHeight="1" x14ac:dyDescent="0.25">
      <c r="A872" s="183">
        <v>45947</v>
      </c>
      <c r="B872" s="271" t="s">
        <v>577</v>
      </c>
      <c r="C872" s="184">
        <v>20.34</v>
      </c>
      <c r="D872" s="184">
        <v>9.92</v>
      </c>
      <c r="E872" s="184">
        <f t="shared" si="44"/>
        <v>10.42</v>
      </c>
      <c r="F872" s="271" t="s">
        <v>23</v>
      </c>
      <c r="G872" s="271" t="s">
        <v>713</v>
      </c>
      <c r="H872" s="139">
        <v>1400</v>
      </c>
      <c r="I872" s="139">
        <f t="shared" si="63"/>
        <v>14588</v>
      </c>
      <c r="J872" s="139">
        <v>1500</v>
      </c>
      <c r="K872" s="139">
        <f t="shared" si="64"/>
        <v>16088</v>
      </c>
      <c r="L872" s="139">
        <v>88</v>
      </c>
      <c r="M872" s="139">
        <f t="shared" si="65"/>
        <v>16000</v>
      </c>
      <c r="N872" s="272" t="s">
        <v>25</v>
      </c>
    </row>
    <row r="873" spans="1:14" ht="15.75" customHeight="1" x14ac:dyDescent="0.25">
      <c r="A873" s="183">
        <v>45947</v>
      </c>
      <c r="B873" s="271" t="s">
        <v>51</v>
      </c>
      <c r="C873" s="184">
        <v>28.36</v>
      </c>
      <c r="D873" s="184">
        <v>9.2100000000000009</v>
      </c>
      <c r="E873" s="184">
        <f t="shared" si="44"/>
        <v>19.149999999999999</v>
      </c>
      <c r="F873" s="271" t="s">
        <v>35</v>
      </c>
      <c r="G873" s="271" t="s">
        <v>576</v>
      </c>
      <c r="H873" s="139">
        <v>1100</v>
      </c>
      <c r="I873" s="139">
        <f t="shared" ref="I873:I879" si="66">H873*E873</f>
        <v>21065</v>
      </c>
      <c r="J873" s="139">
        <v>0</v>
      </c>
      <c r="K873" s="139">
        <f t="shared" ref="K873:K879" si="67">I873+J873</f>
        <v>21065</v>
      </c>
      <c r="L873" s="139">
        <v>0</v>
      </c>
      <c r="M873" s="139">
        <f t="shared" ref="M873:M879" si="68">K873-L873</f>
        <v>21065</v>
      </c>
      <c r="N873" s="185" t="s">
        <v>575</v>
      </c>
    </row>
    <row r="874" spans="1:14" ht="15.75" customHeight="1" x14ac:dyDescent="0.25">
      <c r="A874" s="183">
        <v>45947</v>
      </c>
      <c r="B874" s="271" t="s">
        <v>67</v>
      </c>
      <c r="C874" s="184">
        <v>28.41</v>
      </c>
      <c r="D874" s="184">
        <v>9.3699999999999992</v>
      </c>
      <c r="E874" s="184">
        <f t="shared" si="44"/>
        <v>19.04</v>
      </c>
      <c r="F874" s="271" t="s">
        <v>35</v>
      </c>
      <c r="G874" s="271" t="s">
        <v>576</v>
      </c>
      <c r="H874" s="139">
        <v>1100</v>
      </c>
      <c r="I874" s="139">
        <f t="shared" si="66"/>
        <v>20944</v>
      </c>
      <c r="J874" s="139">
        <v>0</v>
      </c>
      <c r="K874" s="139">
        <f t="shared" si="67"/>
        <v>20944</v>
      </c>
      <c r="L874" s="139">
        <v>0</v>
      </c>
      <c r="M874" s="139">
        <f t="shared" si="68"/>
        <v>20944</v>
      </c>
      <c r="N874" s="185" t="s">
        <v>575</v>
      </c>
    </row>
    <row r="875" spans="1:14" ht="15.75" customHeight="1" x14ac:dyDescent="0.25">
      <c r="A875" s="183">
        <v>45947</v>
      </c>
      <c r="B875" s="271" t="s">
        <v>67</v>
      </c>
      <c r="C875" s="184">
        <v>29.09</v>
      </c>
      <c r="D875" s="184">
        <v>9.82</v>
      </c>
      <c r="E875" s="184">
        <f t="shared" si="44"/>
        <v>19.27</v>
      </c>
      <c r="F875" s="271" t="s">
        <v>35</v>
      </c>
      <c r="G875" s="271" t="s">
        <v>576</v>
      </c>
      <c r="H875" s="139">
        <v>1100</v>
      </c>
      <c r="I875" s="139">
        <f t="shared" si="66"/>
        <v>21197</v>
      </c>
      <c r="J875" s="139">
        <v>0</v>
      </c>
      <c r="K875" s="139">
        <f t="shared" si="67"/>
        <v>21197</v>
      </c>
      <c r="L875" s="139">
        <v>0</v>
      </c>
      <c r="M875" s="139">
        <f t="shared" si="68"/>
        <v>21197</v>
      </c>
      <c r="N875" s="185" t="s">
        <v>575</v>
      </c>
    </row>
    <row r="876" spans="1:14" ht="15.75" customHeight="1" x14ac:dyDescent="0.25">
      <c r="A876" s="183">
        <v>45947</v>
      </c>
      <c r="B876" s="271" t="s">
        <v>51</v>
      </c>
      <c r="C876" s="184">
        <v>29.83</v>
      </c>
      <c r="D876" s="184">
        <v>9.35</v>
      </c>
      <c r="E876" s="184">
        <f t="shared" si="44"/>
        <v>20.479999999999997</v>
      </c>
      <c r="F876" s="271" t="s">
        <v>38</v>
      </c>
      <c r="G876" s="271" t="s">
        <v>576</v>
      </c>
      <c r="H876" s="139">
        <v>500</v>
      </c>
      <c r="I876" s="139">
        <f t="shared" si="66"/>
        <v>10239.999999999998</v>
      </c>
      <c r="J876" s="139">
        <v>0</v>
      </c>
      <c r="K876" s="139">
        <f t="shared" si="67"/>
        <v>10239.999999999998</v>
      </c>
      <c r="L876" s="139">
        <v>0</v>
      </c>
      <c r="M876" s="139">
        <f t="shared" si="68"/>
        <v>10239.999999999998</v>
      </c>
      <c r="N876" s="185" t="s">
        <v>575</v>
      </c>
    </row>
    <row r="877" spans="1:14" ht="15.75" customHeight="1" x14ac:dyDescent="0.25">
      <c r="A877" s="183">
        <v>45947</v>
      </c>
      <c r="B877" s="271" t="s">
        <v>88</v>
      </c>
      <c r="C877" s="184">
        <v>31.81</v>
      </c>
      <c r="D877" s="184">
        <v>9.64</v>
      </c>
      <c r="E877" s="184">
        <f t="shared" si="44"/>
        <v>22.169999999999998</v>
      </c>
      <c r="F877" s="271" t="s">
        <v>38</v>
      </c>
      <c r="G877" s="271" t="s">
        <v>576</v>
      </c>
      <c r="H877" s="139">
        <v>500</v>
      </c>
      <c r="I877" s="139">
        <f t="shared" si="66"/>
        <v>11084.999999999998</v>
      </c>
      <c r="J877" s="139">
        <v>0</v>
      </c>
      <c r="K877" s="139">
        <f t="shared" si="67"/>
        <v>11084.999999999998</v>
      </c>
      <c r="L877" s="139">
        <v>0</v>
      </c>
      <c r="M877" s="139">
        <f t="shared" si="68"/>
        <v>11084.999999999998</v>
      </c>
      <c r="N877" s="185" t="s">
        <v>575</v>
      </c>
    </row>
    <row r="878" spans="1:14" ht="15.75" customHeight="1" x14ac:dyDescent="0.25">
      <c r="A878" s="183">
        <v>45947</v>
      </c>
      <c r="B878" s="271" t="s">
        <v>577</v>
      </c>
      <c r="C878" s="184">
        <v>29.39</v>
      </c>
      <c r="D878" s="184">
        <v>9.4</v>
      </c>
      <c r="E878" s="184">
        <f t="shared" si="44"/>
        <v>19.990000000000002</v>
      </c>
      <c r="F878" s="271" t="s">
        <v>38</v>
      </c>
      <c r="G878" s="271" t="s">
        <v>576</v>
      </c>
      <c r="H878" s="139">
        <v>500</v>
      </c>
      <c r="I878" s="139">
        <f t="shared" si="66"/>
        <v>9995.0000000000018</v>
      </c>
      <c r="J878" s="139">
        <v>0</v>
      </c>
      <c r="K878" s="139">
        <f t="shared" si="67"/>
        <v>9995.0000000000018</v>
      </c>
      <c r="L878" s="139">
        <v>0</v>
      </c>
      <c r="M878" s="139">
        <f t="shared" si="68"/>
        <v>9995.0000000000018</v>
      </c>
      <c r="N878" s="185" t="s">
        <v>575</v>
      </c>
    </row>
    <row r="879" spans="1:14" ht="15.75" customHeight="1" x14ac:dyDescent="0.25">
      <c r="A879" s="183">
        <v>45948</v>
      </c>
      <c r="B879" s="271" t="s">
        <v>67</v>
      </c>
      <c r="C879" s="184">
        <v>28.55</v>
      </c>
      <c r="D879" s="184">
        <v>9.32</v>
      </c>
      <c r="E879" s="184">
        <f t="shared" si="44"/>
        <v>19.23</v>
      </c>
      <c r="F879" s="271" t="s">
        <v>26</v>
      </c>
      <c r="G879" s="271" t="s">
        <v>714</v>
      </c>
      <c r="H879" s="139">
        <v>1225</v>
      </c>
      <c r="I879" s="139">
        <f t="shared" si="66"/>
        <v>23556.75</v>
      </c>
      <c r="J879" s="139">
        <v>0</v>
      </c>
      <c r="K879" s="139">
        <f t="shared" si="67"/>
        <v>23556.75</v>
      </c>
      <c r="L879" s="139">
        <v>0</v>
      </c>
      <c r="M879" s="139">
        <f t="shared" si="68"/>
        <v>23556.75</v>
      </c>
      <c r="N879" s="213" t="s">
        <v>647</v>
      </c>
    </row>
    <row r="880" spans="1:14" ht="15.75" customHeight="1" x14ac:dyDescent="0.25">
      <c r="A880" s="183">
        <v>45948</v>
      </c>
      <c r="B880" s="271" t="s">
        <v>51</v>
      </c>
      <c r="C880" s="184">
        <v>29.03</v>
      </c>
      <c r="D880" s="184">
        <v>9.48</v>
      </c>
      <c r="E880" s="184">
        <f t="shared" si="44"/>
        <v>19.55</v>
      </c>
      <c r="F880" s="271" t="s">
        <v>38</v>
      </c>
      <c r="G880" s="271" t="s">
        <v>576</v>
      </c>
      <c r="H880" s="139">
        <v>500</v>
      </c>
      <c r="I880" s="139">
        <f t="shared" ref="I880:I886" si="69">H880*E880</f>
        <v>9775</v>
      </c>
      <c r="J880" s="139">
        <v>0</v>
      </c>
      <c r="K880" s="139">
        <f t="shared" ref="K880:K886" si="70">I880+J880</f>
        <v>9775</v>
      </c>
      <c r="L880" s="139">
        <v>0</v>
      </c>
      <c r="M880" s="139">
        <f t="shared" ref="M880:M886" si="71">K880-L880</f>
        <v>9775</v>
      </c>
      <c r="N880" s="185" t="s">
        <v>575</v>
      </c>
    </row>
    <row r="881" spans="1:14" ht="15.75" customHeight="1" x14ac:dyDescent="0.25">
      <c r="A881" s="183">
        <v>45948</v>
      </c>
      <c r="B881" s="271" t="s">
        <v>577</v>
      </c>
      <c r="C881" s="184">
        <v>30.47</v>
      </c>
      <c r="D881" s="184">
        <v>9.73</v>
      </c>
      <c r="E881" s="184">
        <f t="shared" si="44"/>
        <v>20.74</v>
      </c>
      <c r="F881" s="271" t="s">
        <v>38</v>
      </c>
      <c r="G881" s="271" t="s">
        <v>576</v>
      </c>
      <c r="H881" s="139">
        <v>500</v>
      </c>
      <c r="I881" s="139">
        <f t="shared" si="69"/>
        <v>10370</v>
      </c>
      <c r="J881" s="139">
        <v>0</v>
      </c>
      <c r="K881" s="139">
        <f t="shared" si="70"/>
        <v>10370</v>
      </c>
      <c r="L881" s="139">
        <v>0</v>
      </c>
      <c r="M881" s="139">
        <f t="shared" si="71"/>
        <v>10370</v>
      </c>
      <c r="N881" s="185" t="s">
        <v>575</v>
      </c>
    </row>
    <row r="882" spans="1:14" ht="15.75" customHeight="1" x14ac:dyDescent="0.25">
      <c r="A882" s="183">
        <v>45948</v>
      </c>
      <c r="B882" s="271" t="s">
        <v>88</v>
      </c>
      <c r="C882" s="184">
        <v>30.62</v>
      </c>
      <c r="D882" s="184">
        <v>9.93</v>
      </c>
      <c r="E882" s="184">
        <f t="shared" si="44"/>
        <v>20.69</v>
      </c>
      <c r="F882" s="271" t="s">
        <v>38</v>
      </c>
      <c r="G882" s="271" t="s">
        <v>576</v>
      </c>
      <c r="H882" s="139">
        <v>500</v>
      </c>
      <c r="I882" s="139">
        <f t="shared" si="69"/>
        <v>10345</v>
      </c>
      <c r="J882" s="139">
        <v>0</v>
      </c>
      <c r="K882" s="139">
        <f t="shared" si="70"/>
        <v>10345</v>
      </c>
      <c r="L882" s="139">
        <v>0</v>
      </c>
      <c r="M882" s="139">
        <f t="shared" si="71"/>
        <v>10345</v>
      </c>
      <c r="N882" s="185" t="s">
        <v>575</v>
      </c>
    </row>
    <row r="883" spans="1:14" ht="15.75" customHeight="1" x14ac:dyDescent="0.25">
      <c r="A883" s="183">
        <v>45948</v>
      </c>
      <c r="B883" s="271" t="s">
        <v>88</v>
      </c>
      <c r="C883" s="184">
        <v>31.14</v>
      </c>
      <c r="D883" s="184">
        <v>9.91</v>
      </c>
      <c r="E883" s="184">
        <f t="shared" si="44"/>
        <v>21.23</v>
      </c>
      <c r="F883" s="271" t="s">
        <v>38</v>
      </c>
      <c r="G883" s="271" t="s">
        <v>576</v>
      </c>
      <c r="H883" s="139">
        <v>500</v>
      </c>
      <c r="I883" s="139">
        <f t="shared" si="69"/>
        <v>10615</v>
      </c>
      <c r="J883" s="139">
        <v>0</v>
      </c>
      <c r="K883" s="139">
        <f t="shared" si="70"/>
        <v>10615</v>
      </c>
      <c r="L883" s="139">
        <v>0</v>
      </c>
      <c r="M883" s="139">
        <f t="shared" si="71"/>
        <v>10615</v>
      </c>
      <c r="N883" s="185" t="s">
        <v>575</v>
      </c>
    </row>
    <row r="884" spans="1:14" ht="15.75" customHeight="1" x14ac:dyDescent="0.25">
      <c r="A884" s="183">
        <v>45948</v>
      </c>
      <c r="B884" s="271" t="s">
        <v>577</v>
      </c>
      <c r="C884" s="184">
        <v>28.81</v>
      </c>
      <c r="D884" s="184">
        <v>9.67</v>
      </c>
      <c r="E884" s="184">
        <f t="shared" si="44"/>
        <v>19.14</v>
      </c>
      <c r="F884" s="271" t="s">
        <v>38</v>
      </c>
      <c r="G884" s="271" t="s">
        <v>576</v>
      </c>
      <c r="H884" s="139">
        <v>500</v>
      </c>
      <c r="I884" s="139">
        <f t="shared" si="69"/>
        <v>9570</v>
      </c>
      <c r="J884" s="139">
        <v>0</v>
      </c>
      <c r="K884" s="139">
        <f t="shared" si="70"/>
        <v>9570</v>
      </c>
      <c r="L884" s="139">
        <v>0</v>
      </c>
      <c r="M884" s="139">
        <f t="shared" si="71"/>
        <v>9570</v>
      </c>
      <c r="N884" s="185" t="s">
        <v>575</v>
      </c>
    </row>
    <row r="885" spans="1:14" ht="15.75" customHeight="1" x14ac:dyDescent="0.25">
      <c r="A885" s="183">
        <v>45948</v>
      </c>
      <c r="B885" s="271" t="s">
        <v>51</v>
      </c>
      <c r="C885" s="184">
        <v>30.18</v>
      </c>
      <c r="D885" s="184">
        <v>9.42</v>
      </c>
      <c r="E885" s="184">
        <f t="shared" si="44"/>
        <v>20.759999999999998</v>
      </c>
      <c r="F885" s="271" t="s">
        <v>38</v>
      </c>
      <c r="G885" s="271" t="s">
        <v>576</v>
      </c>
      <c r="H885" s="139">
        <v>500</v>
      </c>
      <c r="I885" s="139">
        <f t="shared" si="69"/>
        <v>10379.999999999998</v>
      </c>
      <c r="J885" s="139">
        <v>0</v>
      </c>
      <c r="K885" s="139">
        <f t="shared" si="70"/>
        <v>10379.999999999998</v>
      </c>
      <c r="L885" s="139">
        <v>0</v>
      </c>
      <c r="M885" s="139">
        <f t="shared" si="71"/>
        <v>10379.999999999998</v>
      </c>
      <c r="N885" s="185" t="s">
        <v>575</v>
      </c>
    </row>
    <row r="886" spans="1:14" ht="15.75" customHeight="1" x14ac:dyDescent="0.25">
      <c r="A886" s="183">
        <v>45948</v>
      </c>
      <c r="B886" s="271" t="s">
        <v>67</v>
      </c>
      <c r="C886" s="184">
        <v>29.55</v>
      </c>
      <c r="D886" s="184">
        <v>9.3699999999999992</v>
      </c>
      <c r="E886" s="184">
        <f t="shared" si="44"/>
        <v>20.18</v>
      </c>
      <c r="F886" s="271" t="s">
        <v>38</v>
      </c>
      <c r="G886" s="271" t="s">
        <v>576</v>
      </c>
      <c r="H886" s="139">
        <v>500</v>
      </c>
      <c r="I886" s="139">
        <f t="shared" si="69"/>
        <v>10090</v>
      </c>
      <c r="J886" s="139">
        <v>0</v>
      </c>
      <c r="K886" s="139">
        <f t="shared" si="70"/>
        <v>10090</v>
      </c>
      <c r="L886" s="139">
        <v>0</v>
      </c>
      <c r="M886" s="139">
        <f t="shared" si="71"/>
        <v>10090</v>
      </c>
      <c r="N886" s="185" t="s">
        <v>575</v>
      </c>
    </row>
    <row r="887" spans="1:14" ht="15.75" customHeight="1" x14ac:dyDescent="0.25">
      <c r="A887" s="183">
        <v>45949</v>
      </c>
      <c r="B887" s="271" t="s">
        <v>88</v>
      </c>
      <c r="C887" s="184">
        <v>30.19</v>
      </c>
      <c r="D887" s="184">
        <v>9.82</v>
      </c>
      <c r="E887" s="184">
        <f t="shared" si="44"/>
        <v>20.37</v>
      </c>
      <c r="F887" s="271" t="s">
        <v>38</v>
      </c>
      <c r="G887" s="271" t="s">
        <v>576</v>
      </c>
      <c r="H887" s="139">
        <v>500</v>
      </c>
      <c r="I887" s="139">
        <f t="shared" ref="I887:I896" si="72">H887*E887</f>
        <v>10185</v>
      </c>
      <c r="J887" s="139">
        <v>0</v>
      </c>
      <c r="K887" s="139">
        <f t="shared" ref="K887:K896" si="73">I887+J887</f>
        <v>10185</v>
      </c>
      <c r="L887" s="139">
        <v>0</v>
      </c>
      <c r="M887" s="139">
        <f t="shared" ref="M887:M896" si="74">K887-L887</f>
        <v>10185</v>
      </c>
      <c r="N887" s="185" t="s">
        <v>575</v>
      </c>
    </row>
    <row r="888" spans="1:14" ht="15.75" customHeight="1" x14ac:dyDescent="0.25">
      <c r="A888" s="183">
        <v>45949</v>
      </c>
      <c r="B888" s="271" t="s">
        <v>577</v>
      </c>
      <c r="C888" s="184">
        <v>29.62</v>
      </c>
      <c r="D888" s="184">
        <v>9.5299999999999994</v>
      </c>
      <c r="E888" s="184">
        <f t="shared" si="44"/>
        <v>20.090000000000003</v>
      </c>
      <c r="F888" s="271" t="s">
        <v>38</v>
      </c>
      <c r="G888" s="271" t="s">
        <v>576</v>
      </c>
      <c r="H888" s="139">
        <v>500</v>
      </c>
      <c r="I888" s="139">
        <f t="shared" si="72"/>
        <v>10045.000000000002</v>
      </c>
      <c r="J888" s="139">
        <v>0</v>
      </c>
      <c r="K888" s="139">
        <f t="shared" si="73"/>
        <v>10045.000000000002</v>
      </c>
      <c r="L888" s="139">
        <v>0</v>
      </c>
      <c r="M888" s="139">
        <f t="shared" si="74"/>
        <v>10045.000000000002</v>
      </c>
      <c r="N888" s="185" t="s">
        <v>575</v>
      </c>
    </row>
    <row r="889" spans="1:14" ht="15.75" customHeight="1" x14ac:dyDescent="0.25">
      <c r="A889" s="183">
        <v>45949</v>
      </c>
      <c r="B889" s="271" t="s">
        <v>67</v>
      </c>
      <c r="C889" s="184">
        <v>31.06</v>
      </c>
      <c r="D889" s="184">
        <v>9.7899999999999991</v>
      </c>
      <c r="E889" s="184">
        <f t="shared" si="44"/>
        <v>21.27</v>
      </c>
      <c r="F889" s="271" t="s">
        <v>38</v>
      </c>
      <c r="G889" s="271" t="s">
        <v>576</v>
      </c>
      <c r="H889" s="139">
        <v>500</v>
      </c>
      <c r="I889" s="139">
        <f t="shared" si="72"/>
        <v>10635</v>
      </c>
      <c r="J889" s="139">
        <v>0</v>
      </c>
      <c r="K889" s="139">
        <f t="shared" si="73"/>
        <v>10635</v>
      </c>
      <c r="L889" s="139">
        <v>0</v>
      </c>
      <c r="M889" s="139">
        <f t="shared" si="74"/>
        <v>10635</v>
      </c>
      <c r="N889" s="185" t="s">
        <v>575</v>
      </c>
    </row>
    <row r="890" spans="1:14" ht="15.75" customHeight="1" x14ac:dyDescent="0.25">
      <c r="A890" s="183">
        <v>45949</v>
      </c>
      <c r="B890" s="271" t="s">
        <v>51</v>
      </c>
      <c r="C890" s="184">
        <v>29.57</v>
      </c>
      <c r="D890" s="184">
        <v>9.25</v>
      </c>
      <c r="E890" s="184">
        <f t="shared" si="44"/>
        <v>20.32</v>
      </c>
      <c r="F890" s="271" t="s">
        <v>38</v>
      </c>
      <c r="G890" s="271" t="s">
        <v>576</v>
      </c>
      <c r="H890" s="139">
        <v>500</v>
      </c>
      <c r="I890" s="139">
        <f t="shared" si="72"/>
        <v>10160</v>
      </c>
      <c r="J890" s="139">
        <v>0</v>
      </c>
      <c r="K890" s="139">
        <f t="shared" si="73"/>
        <v>10160</v>
      </c>
      <c r="L890" s="139">
        <v>0</v>
      </c>
      <c r="M890" s="139">
        <f t="shared" si="74"/>
        <v>10160</v>
      </c>
      <c r="N890" s="185" t="s">
        <v>575</v>
      </c>
    </row>
    <row r="891" spans="1:14" ht="15.75" customHeight="1" x14ac:dyDescent="0.25">
      <c r="A891" s="183">
        <v>45949</v>
      </c>
      <c r="B891" s="271" t="s">
        <v>88</v>
      </c>
      <c r="C891" s="184">
        <v>29.53</v>
      </c>
      <c r="D891" s="184">
        <v>9.83</v>
      </c>
      <c r="E891" s="184">
        <f t="shared" si="44"/>
        <v>19.700000000000003</v>
      </c>
      <c r="F891" s="271" t="s">
        <v>38</v>
      </c>
      <c r="G891" s="271" t="s">
        <v>576</v>
      </c>
      <c r="H891" s="139">
        <v>500</v>
      </c>
      <c r="I891" s="139">
        <f t="shared" si="72"/>
        <v>9850.0000000000018</v>
      </c>
      <c r="J891" s="139">
        <v>0</v>
      </c>
      <c r="K891" s="139">
        <f t="shared" si="73"/>
        <v>9850.0000000000018</v>
      </c>
      <c r="L891" s="139">
        <v>0</v>
      </c>
      <c r="M891" s="139">
        <f t="shared" si="74"/>
        <v>9850.0000000000018</v>
      </c>
      <c r="N891" s="185" t="s">
        <v>575</v>
      </c>
    </row>
    <row r="892" spans="1:14" ht="15.75" customHeight="1" x14ac:dyDescent="0.25">
      <c r="A892" s="183">
        <v>45951</v>
      </c>
      <c r="B892" s="271" t="s">
        <v>17</v>
      </c>
      <c r="C892" s="184">
        <v>6.49</v>
      </c>
      <c r="D892" s="184">
        <v>2.88</v>
      </c>
      <c r="E892" s="184">
        <f t="shared" si="44"/>
        <v>3.6100000000000003</v>
      </c>
      <c r="F892" s="271" t="s">
        <v>23</v>
      </c>
      <c r="G892" s="271" t="s">
        <v>715</v>
      </c>
      <c r="H892" s="139">
        <v>1400</v>
      </c>
      <c r="I892" s="139">
        <f t="shared" si="72"/>
        <v>5054</v>
      </c>
      <c r="J892" s="139">
        <v>0</v>
      </c>
      <c r="K892" s="139">
        <f t="shared" si="73"/>
        <v>5054</v>
      </c>
      <c r="L892" s="139">
        <v>54</v>
      </c>
      <c r="M892" s="139">
        <f t="shared" si="74"/>
        <v>5000</v>
      </c>
      <c r="N892" s="272" t="s">
        <v>20</v>
      </c>
    </row>
    <row r="893" spans="1:14" ht="15.75" customHeight="1" x14ac:dyDescent="0.25">
      <c r="A893" s="183">
        <v>45952</v>
      </c>
      <c r="B893" s="271" t="s">
        <v>67</v>
      </c>
      <c r="C893" s="184">
        <v>17.600000000000001</v>
      </c>
      <c r="D893" s="184">
        <v>9.5500000000000007</v>
      </c>
      <c r="E893" s="184">
        <f t="shared" si="44"/>
        <v>8.0500000000000007</v>
      </c>
      <c r="F893" s="271" t="s">
        <v>23</v>
      </c>
      <c r="G893" s="271" t="s">
        <v>167</v>
      </c>
      <c r="H893" s="139">
        <v>1350</v>
      </c>
      <c r="I893" s="139">
        <f t="shared" si="72"/>
        <v>10867.500000000002</v>
      </c>
      <c r="J893" s="139">
        <v>700</v>
      </c>
      <c r="K893" s="139">
        <f t="shared" si="73"/>
        <v>11567.500000000002</v>
      </c>
      <c r="L893" s="139">
        <v>0</v>
      </c>
      <c r="M893" s="139">
        <f t="shared" si="74"/>
        <v>11567.500000000002</v>
      </c>
      <c r="N893" s="272" t="s">
        <v>20</v>
      </c>
    </row>
    <row r="894" spans="1:14" ht="15.75" customHeight="1" x14ac:dyDescent="0.25">
      <c r="A894" s="183">
        <v>45953</v>
      </c>
      <c r="B894" s="271" t="s">
        <v>88</v>
      </c>
      <c r="C894" s="184">
        <v>28.8</v>
      </c>
      <c r="D894" s="184">
        <v>10.039999999999999</v>
      </c>
      <c r="E894" s="184">
        <f t="shared" si="44"/>
        <v>18.760000000000002</v>
      </c>
      <c r="F894" s="271" t="s">
        <v>35</v>
      </c>
      <c r="G894" s="271" t="s">
        <v>576</v>
      </c>
      <c r="H894" s="139">
        <v>1100</v>
      </c>
      <c r="I894" s="139">
        <f t="shared" si="72"/>
        <v>20636</v>
      </c>
      <c r="J894" s="139">
        <v>0</v>
      </c>
      <c r="K894" s="139">
        <f t="shared" si="73"/>
        <v>20636</v>
      </c>
      <c r="L894" s="139">
        <v>0</v>
      </c>
      <c r="M894" s="139">
        <f t="shared" si="74"/>
        <v>20636</v>
      </c>
      <c r="N894" s="185" t="s">
        <v>575</v>
      </c>
    </row>
    <row r="895" spans="1:14" ht="15.75" customHeight="1" x14ac:dyDescent="0.25">
      <c r="A895" s="183">
        <v>45953</v>
      </c>
      <c r="B895" s="271" t="s">
        <v>67</v>
      </c>
      <c r="C895" s="184">
        <v>30.8</v>
      </c>
      <c r="D895" s="184">
        <v>9.6199999999999992</v>
      </c>
      <c r="E895" s="184">
        <f t="shared" si="44"/>
        <v>21.18</v>
      </c>
      <c r="F895" s="271" t="s">
        <v>38</v>
      </c>
      <c r="G895" s="271" t="s">
        <v>718</v>
      </c>
      <c r="H895" s="139">
        <v>500</v>
      </c>
      <c r="I895" s="139">
        <f t="shared" si="72"/>
        <v>10590</v>
      </c>
      <c r="J895" s="139">
        <v>0</v>
      </c>
      <c r="K895" s="139">
        <f t="shared" si="73"/>
        <v>10590</v>
      </c>
      <c r="L895" s="139">
        <v>0</v>
      </c>
      <c r="M895" s="139">
        <f t="shared" si="74"/>
        <v>10590</v>
      </c>
      <c r="N895" s="185" t="s">
        <v>575</v>
      </c>
    </row>
    <row r="896" spans="1:14" ht="15.75" customHeight="1" x14ac:dyDescent="0.25">
      <c r="A896" s="183">
        <v>45953</v>
      </c>
      <c r="B896" s="271" t="s">
        <v>716</v>
      </c>
      <c r="C896" s="184">
        <v>7.64</v>
      </c>
      <c r="D896" s="184">
        <v>3.06</v>
      </c>
      <c r="E896" s="184">
        <f t="shared" si="44"/>
        <v>4.58</v>
      </c>
      <c r="F896" s="271" t="s">
        <v>35</v>
      </c>
      <c r="G896" s="271" t="s">
        <v>719</v>
      </c>
      <c r="H896" s="139">
        <v>1200</v>
      </c>
      <c r="I896" s="139">
        <f t="shared" si="72"/>
        <v>5496</v>
      </c>
      <c r="J896" s="139">
        <v>0</v>
      </c>
      <c r="K896" s="139">
        <f t="shared" si="73"/>
        <v>5496</v>
      </c>
      <c r="L896" s="139">
        <v>46</v>
      </c>
      <c r="M896" s="139">
        <f t="shared" si="74"/>
        <v>5450</v>
      </c>
      <c r="N896" s="272" t="s">
        <v>20</v>
      </c>
    </row>
    <row r="897" spans="1:14" ht="15.75" customHeight="1" x14ac:dyDescent="0.25">
      <c r="A897" s="183">
        <v>45953</v>
      </c>
      <c r="B897" s="271" t="s">
        <v>88</v>
      </c>
      <c r="C897" s="184">
        <v>29.5</v>
      </c>
      <c r="D897" s="184">
        <v>9.83</v>
      </c>
      <c r="E897" s="184">
        <f t="shared" si="44"/>
        <v>19.670000000000002</v>
      </c>
      <c r="F897" s="271" t="s">
        <v>38</v>
      </c>
      <c r="G897" s="271" t="s">
        <v>718</v>
      </c>
      <c r="H897" s="139">
        <v>500</v>
      </c>
      <c r="I897" s="139">
        <f t="shared" ref="I897:I898" si="75">H897*E897</f>
        <v>9835</v>
      </c>
      <c r="J897" s="139">
        <v>0</v>
      </c>
      <c r="K897" s="139">
        <f t="shared" ref="K897:K898" si="76">I897+J897</f>
        <v>9835</v>
      </c>
      <c r="L897" s="139">
        <v>0</v>
      </c>
      <c r="M897" s="139">
        <f t="shared" ref="M897:M898" si="77">K897-L897</f>
        <v>9835</v>
      </c>
      <c r="N897" s="185" t="s">
        <v>575</v>
      </c>
    </row>
    <row r="898" spans="1:14" ht="15.75" customHeight="1" x14ac:dyDescent="0.25">
      <c r="A898" s="183">
        <v>45953</v>
      </c>
      <c r="B898" s="271" t="s">
        <v>717</v>
      </c>
      <c r="C898" s="184">
        <v>8.09</v>
      </c>
      <c r="D898" s="184">
        <v>2.73</v>
      </c>
      <c r="E898" s="184">
        <f t="shared" si="44"/>
        <v>5.3599999999999994</v>
      </c>
      <c r="F898" s="271" t="s">
        <v>23</v>
      </c>
      <c r="G898" s="271" t="s">
        <v>720</v>
      </c>
      <c r="H898" s="139">
        <v>1450</v>
      </c>
      <c r="I898" s="139">
        <f t="shared" si="75"/>
        <v>7771.9999999999991</v>
      </c>
      <c r="J898" s="139">
        <v>0</v>
      </c>
      <c r="K898" s="139">
        <f t="shared" si="76"/>
        <v>7771.9999999999991</v>
      </c>
      <c r="L898" s="139">
        <v>2</v>
      </c>
      <c r="M898" s="139">
        <f t="shared" si="77"/>
        <v>7769.9999999999991</v>
      </c>
      <c r="N898" s="272" t="s">
        <v>20</v>
      </c>
    </row>
    <row r="899" spans="1:14" ht="15.75" customHeight="1" x14ac:dyDescent="0.25">
      <c r="A899" s="183">
        <v>45953</v>
      </c>
      <c r="B899" s="271" t="s">
        <v>577</v>
      </c>
      <c r="C899" s="184">
        <v>30.72</v>
      </c>
      <c r="D899" s="184">
        <v>10.029999999999999</v>
      </c>
      <c r="E899" s="184">
        <f t="shared" si="44"/>
        <v>20.689999999999998</v>
      </c>
      <c r="F899" s="271" t="s">
        <v>38</v>
      </c>
      <c r="G899" s="271" t="s">
        <v>718</v>
      </c>
      <c r="H899" s="139">
        <v>500</v>
      </c>
      <c r="I899" s="139">
        <f t="shared" ref="I899:I902" si="78">H899*E899</f>
        <v>10344.999999999998</v>
      </c>
      <c r="J899" s="139">
        <v>0</v>
      </c>
      <c r="K899" s="139">
        <f t="shared" ref="K899" si="79">I899+J899</f>
        <v>10344.999999999998</v>
      </c>
      <c r="L899" s="139">
        <v>0</v>
      </c>
      <c r="M899" s="139">
        <f t="shared" ref="M899" si="80">K899-L899</f>
        <v>10344.999999999998</v>
      </c>
      <c r="N899" s="185" t="s">
        <v>575</v>
      </c>
    </row>
    <row r="900" spans="1:14" ht="15.75" customHeight="1" x14ac:dyDescent="0.25">
      <c r="A900" s="183">
        <v>45954</v>
      </c>
      <c r="B900" s="271" t="s">
        <v>721</v>
      </c>
      <c r="C900" s="184">
        <v>27.26</v>
      </c>
      <c r="D900" s="184">
        <v>10.29</v>
      </c>
      <c r="E900" s="184">
        <f t="shared" si="44"/>
        <v>16.970000000000002</v>
      </c>
      <c r="F900" s="271" t="s">
        <v>23</v>
      </c>
      <c r="G900" s="271" t="s">
        <v>718</v>
      </c>
      <c r="H900" s="139">
        <v>1350</v>
      </c>
      <c r="I900" s="139">
        <f t="shared" si="78"/>
        <v>22909.500000000004</v>
      </c>
      <c r="J900" s="139">
        <v>0</v>
      </c>
      <c r="K900" s="139">
        <f t="shared" ref="K900:K902" si="81">I900+J900</f>
        <v>22909.500000000004</v>
      </c>
      <c r="L900" s="139">
        <v>0</v>
      </c>
      <c r="M900" s="139">
        <f t="shared" ref="M900:M902" si="82">K900-L900</f>
        <v>22909.500000000004</v>
      </c>
      <c r="N900" s="185" t="s">
        <v>575</v>
      </c>
    </row>
    <row r="901" spans="1:14" ht="15.75" customHeight="1" x14ac:dyDescent="0.25">
      <c r="A901" s="183">
        <v>45954</v>
      </c>
      <c r="B901" s="271" t="s">
        <v>721</v>
      </c>
      <c r="C901" s="184">
        <v>27.85</v>
      </c>
      <c r="D901" s="184">
        <v>10.57</v>
      </c>
      <c r="E901" s="184">
        <f t="shared" si="44"/>
        <v>17.28</v>
      </c>
      <c r="F901" s="271" t="s">
        <v>35</v>
      </c>
      <c r="G901" s="271" t="s">
        <v>718</v>
      </c>
      <c r="H901" s="139">
        <v>1100</v>
      </c>
      <c r="I901" s="139">
        <f t="shared" si="78"/>
        <v>19008</v>
      </c>
      <c r="J901" s="139">
        <v>0</v>
      </c>
      <c r="K901" s="139">
        <f t="shared" si="81"/>
        <v>19008</v>
      </c>
      <c r="L901" s="139">
        <v>0</v>
      </c>
      <c r="M901" s="139">
        <f t="shared" si="82"/>
        <v>19008</v>
      </c>
      <c r="N901" s="185" t="s">
        <v>575</v>
      </c>
    </row>
    <row r="902" spans="1:14" ht="15.75" customHeight="1" x14ac:dyDescent="0.25">
      <c r="A902" s="183">
        <v>45954</v>
      </c>
      <c r="B902" s="271" t="s">
        <v>721</v>
      </c>
      <c r="C902" s="184">
        <v>29.7</v>
      </c>
      <c r="D902" s="184">
        <v>10.73</v>
      </c>
      <c r="E902" s="184">
        <f t="shared" si="44"/>
        <v>18.97</v>
      </c>
      <c r="F902" s="271" t="s">
        <v>23</v>
      </c>
      <c r="G902" s="271" t="s">
        <v>718</v>
      </c>
      <c r="H902" s="139">
        <v>1350</v>
      </c>
      <c r="I902" s="139">
        <f t="shared" si="78"/>
        <v>25609.5</v>
      </c>
      <c r="J902" s="139">
        <v>0</v>
      </c>
      <c r="K902" s="139">
        <f t="shared" si="81"/>
        <v>25609.5</v>
      </c>
      <c r="L902" s="139">
        <v>0</v>
      </c>
      <c r="M902" s="139">
        <f t="shared" si="82"/>
        <v>25609.5</v>
      </c>
      <c r="N902" s="185" t="s">
        <v>575</v>
      </c>
    </row>
    <row r="903" spans="1:14" ht="15.75" customHeight="1" x14ac:dyDescent="0.25">
      <c r="A903" s="183">
        <v>45955</v>
      </c>
      <c r="B903" s="271" t="s">
        <v>721</v>
      </c>
      <c r="C903" s="184">
        <v>28.54</v>
      </c>
      <c r="D903" s="184">
        <v>10.39</v>
      </c>
      <c r="E903" s="184">
        <f t="shared" si="44"/>
        <v>18.149999999999999</v>
      </c>
      <c r="F903" s="271" t="s">
        <v>23</v>
      </c>
      <c r="G903" s="271" t="s">
        <v>718</v>
      </c>
      <c r="H903" s="139">
        <v>1350</v>
      </c>
      <c r="I903" s="139">
        <f t="shared" ref="I903:I905" si="83">H903*E903</f>
        <v>24502.499999999996</v>
      </c>
      <c r="J903" s="139">
        <v>0</v>
      </c>
      <c r="K903" s="139">
        <f t="shared" ref="K903:K905" si="84">I903+J903</f>
        <v>24502.499999999996</v>
      </c>
      <c r="L903" s="139">
        <v>0</v>
      </c>
      <c r="M903" s="139">
        <f t="shared" ref="M903:M905" si="85">K903-L903</f>
        <v>24502.499999999996</v>
      </c>
      <c r="N903" s="185" t="s">
        <v>575</v>
      </c>
    </row>
    <row r="904" spans="1:14" ht="15.75" customHeight="1" x14ac:dyDescent="0.25">
      <c r="A904" s="183">
        <v>45956</v>
      </c>
      <c r="B904" s="271" t="s">
        <v>88</v>
      </c>
      <c r="C904" s="184">
        <v>18.52</v>
      </c>
      <c r="D904" s="184">
        <v>9.7799999999999994</v>
      </c>
      <c r="E904" s="184">
        <f t="shared" si="44"/>
        <v>8.74</v>
      </c>
      <c r="F904" s="271" t="s">
        <v>23</v>
      </c>
      <c r="G904" s="271" t="s">
        <v>167</v>
      </c>
      <c r="H904" s="139">
        <v>1350</v>
      </c>
      <c r="I904" s="139">
        <f t="shared" si="83"/>
        <v>11799</v>
      </c>
      <c r="J904" s="139">
        <v>1501</v>
      </c>
      <c r="K904" s="139">
        <f t="shared" si="84"/>
        <v>13300</v>
      </c>
      <c r="L904" s="139">
        <v>0</v>
      </c>
      <c r="M904" s="139">
        <f t="shared" si="85"/>
        <v>13300</v>
      </c>
      <c r="N904" s="272" t="s">
        <v>25</v>
      </c>
    </row>
    <row r="905" spans="1:14" ht="15.75" customHeight="1" x14ac:dyDescent="0.25">
      <c r="A905" s="274">
        <v>45957</v>
      </c>
      <c r="B905" s="271" t="s">
        <v>40</v>
      </c>
      <c r="C905" s="184">
        <v>6.55</v>
      </c>
      <c r="D905" s="184">
        <v>2.78</v>
      </c>
      <c r="E905" s="184">
        <f t="shared" si="44"/>
        <v>3.77</v>
      </c>
      <c r="F905" s="271" t="s">
        <v>23</v>
      </c>
      <c r="G905" s="271" t="s">
        <v>722</v>
      </c>
      <c r="H905" s="139">
        <v>1400</v>
      </c>
      <c r="I905" s="139">
        <f t="shared" si="83"/>
        <v>5278</v>
      </c>
      <c r="J905" s="139">
        <v>0</v>
      </c>
      <c r="K905" s="139">
        <f t="shared" si="84"/>
        <v>5278</v>
      </c>
      <c r="L905" s="139">
        <v>28</v>
      </c>
      <c r="M905" s="139">
        <f t="shared" si="85"/>
        <v>5250</v>
      </c>
      <c r="N905" s="272" t="s">
        <v>20</v>
      </c>
    </row>
    <row r="906" spans="1:14" ht="15.75" customHeight="1" x14ac:dyDescent="0.25">
      <c r="A906" s="183">
        <v>45958</v>
      </c>
      <c r="B906" s="271" t="s">
        <v>723</v>
      </c>
      <c r="C906" s="184">
        <v>6.43</v>
      </c>
      <c r="D906" s="184">
        <v>2.9</v>
      </c>
      <c r="E906" s="184">
        <f t="shared" si="44"/>
        <v>3.53</v>
      </c>
      <c r="F906" s="271" t="s">
        <v>23</v>
      </c>
      <c r="G906" s="271" t="s">
        <v>724</v>
      </c>
      <c r="H906" s="139">
        <v>1400</v>
      </c>
      <c r="I906" s="139">
        <f t="shared" ref="I906:I908" si="86">H906*E906</f>
        <v>4942</v>
      </c>
      <c r="J906" s="139">
        <v>0</v>
      </c>
      <c r="K906" s="139">
        <f t="shared" ref="K906:K908" si="87">I906+J906</f>
        <v>4942</v>
      </c>
      <c r="L906" s="139">
        <v>42</v>
      </c>
      <c r="M906" s="139">
        <f t="shared" ref="M906:M908" si="88">K906-L906</f>
        <v>4900</v>
      </c>
      <c r="N906" s="272" t="s">
        <v>20</v>
      </c>
    </row>
    <row r="907" spans="1:14" ht="15.75" customHeight="1" x14ac:dyDescent="0.25">
      <c r="A907" s="183">
        <v>45959</v>
      </c>
      <c r="B907" s="271" t="s">
        <v>17</v>
      </c>
      <c r="C907" s="184">
        <v>6.44</v>
      </c>
      <c r="D907" s="184">
        <v>2.9</v>
      </c>
      <c r="E907" s="184">
        <f t="shared" si="44"/>
        <v>3.5400000000000005</v>
      </c>
      <c r="F907" s="271" t="s">
        <v>35</v>
      </c>
      <c r="G907" s="271" t="s">
        <v>715</v>
      </c>
      <c r="H907" s="139">
        <v>1250</v>
      </c>
      <c r="I907" s="139">
        <f t="shared" si="86"/>
        <v>4425.0000000000009</v>
      </c>
      <c r="J907" s="139">
        <v>0</v>
      </c>
      <c r="K907" s="139">
        <f t="shared" si="87"/>
        <v>4425.0000000000009</v>
      </c>
      <c r="L907" s="139">
        <v>25</v>
      </c>
      <c r="M907" s="139">
        <f t="shared" si="88"/>
        <v>4400.0000000000009</v>
      </c>
      <c r="N907" s="272" t="s">
        <v>20</v>
      </c>
    </row>
    <row r="908" spans="1:14" ht="15.75" customHeight="1" x14ac:dyDescent="0.25">
      <c r="A908" s="183">
        <v>45960</v>
      </c>
      <c r="B908" s="271" t="s">
        <v>51</v>
      </c>
      <c r="C908" s="184">
        <v>30.33</v>
      </c>
      <c r="D908" s="184">
        <v>9.6999999999999993</v>
      </c>
      <c r="E908" s="184">
        <f t="shared" si="44"/>
        <v>20.63</v>
      </c>
      <c r="F908" s="271" t="s">
        <v>23</v>
      </c>
      <c r="G908" s="271" t="s">
        <v>725</v>
      </c>
      <c r="H908" s="139">
        <v>1300</v>
      </c>
      <c r="I908" s="139">
        <f t="shared" si="86"/>
        <v>26819</v>
      </c>
      <c r="J908" s="139">
        <v>0</v>
      </c>
      <c r="K908" s="139">
        <f t="shared" si="87"/>
        <v>26819</v>
      </c>
      <c r="L908" s="139">
        <v>0</v>
      </c>
      <c r="M908" s="139">
        <f t="shared" si="88"/>
        <v>26819</v>
      </c>
      <c r="N908" s="272" t="s">
        <v>25</v>
      </c>
    </row>
    <row r="909" spans="1:14" ht="15.75" customHeight="1" x14ac:dyDescent="0.25">
      <c r="A909" s="183">
        <v>45960</v>
      </c>
      <c r="B909" s="271" t="s">
        <v>67</v>
      </c>
      <c r="C909" s="184">
        <v>30.14</v>
      </c>
      <c r="D909" s="184">
        <v>9.51</v>
      </c>
      <c r="E909" s="184">
        <f t="shared" si="44"/>
        <v>20.630000000000003</v>
      </c>
      <c r="F909" s="271" t="s">
        <v>23</v>
      </c>
      <c r="G909" s="271" t="s">
        <v>725</v>
      </c>
      <c r="H909" s="139">
        <v>1300</v>
      </c>
      <c r="I909" s="139">
        <f t="shared" ref="I909:I910" si="89">H909*E909</f>
        <v>26819.000000000004</v>
      </c>
      <c r="J909" s="139">
        <v>0</v>
      </c>
      <c r="K909" s="139">
        <f t="shared" ref="K909:K910" si="90">I909+J909</f>
        <v>26819.000000000004</v>
      </c>
      <c r="L909" s="139">
        <v>0</v>
      </c>
      <c r="M909" s="139">
        <f t="shared" ref="M909:M910" si="91">K909-L909</f>
        <v>26819.000000000004</v>
      </c>
      <c r="N909" s="272" t="s">
        <v>25</v>
      </c>
    </row>
    <row r="910" spans="1:14" ht="15.75" customHeight="1" x14ac:dyDescent="0.25">
      <c r="A910" s="183">
        <v>45960</v>
      </c>
      <c r="B910" s="271" t="s">
        <v>22</v>
      </c>
      <c r="C910" s="184">
        <v>30.23</v>
      </c>
      <c r="D910" s="184">
        <v>9.75</v>
      </c>
      <c r="E910" s="184">
        <f t="shared" si="44"/>
        <v>20.48</v>
      </c>
      <c r="F910" s="271" t="s">
        <v>23</v>
      </c>
      <c r="G910" s="271" t="s">
        <v>726</v>
      </c>
      <c r="H910" s="139">
        <v>1400</v>
      </c>
      <c r="I910" s="139">
        <f t="shared" si="89"/>
        <v>28672</v>
      </c>
      <c r="J910" s="139">
        <v>1500</v>
      </c>
      <c r="K910" s="139">
        <f t="shared" si="90"/>
        <v>30172</v>
      </c>
      <c r="L910" s="139">
        <v>0</v>
      </c>
      <c r="M910" s="139">
        <f t="shared" si="91"/>
        <v>30172</v>
      </c>
      <c r="N910" s="272" t="s">
        <v>575</v>
      </c>
    </row>
    <row r="911" spans="1:14" ht="15.75" customHeight="1" x14ac:dyDescent="0.25">
      <c r="A911" s="183">
        <v>45961</v>
      </c>
      <c r="B911" s="271" t="s">
        <v>51</v>
      </c>
      <c r="C911" s="184">
        <v>30.72</v>
      </c>
      <c r="D911" s="184">
        <v>9.5299999999999994</v>
      </c>
      <c r="E911" s="184">
        <f t="shared" si="44"/>
        <v>21.189999999999998</v>
      </c>
      <c r="F911" s="271" t="s">
        <v>23</v>
      </c>
      <c r="G911" s="271" t="s">
        <v>725</v>
      </c>
      <c r="H911" s="139">
        <v>1300</v>
      </c>
      <c r="I911" s="139">
        <f t="shared" ref="I911:I913" si="92">H911*E911</f>
        <v>27546.999999999996</v>
      </c>
      <c r="J911" s="139">
        <v>0</v>
      </c>
      <c r="K911" s="139">
        <f t="shared" ref="K911:K913" si="93">I911+J911</f>
        <v>27546.999999999996</v>
      </c>
      <c r="L911" s="139">
        <v>0</v>
      </c>
      <c r="M911" s="139">
        <f t="shared" ref="M911:M913" si="94">K911-L911</f>
        <v>27546.999999999996</v>
      </c>
      <c r="N911" s="272" t="s">
        <v>25</v>
      </c>
    </row>
    <row r="912" spans="1:14" ht="15.75" customHeight="1" x14ac:dyDescent="0.25">
      <c r="A912" s="183">
        <v>45961</v>
      </c>
      <c r="B912" s="271" t="s">
        <v>577</v>
      </c>
      <c r="C912" s="184">
        <v>29.78</v>
      </c>
      <c r="D912" s="184">
        <v>9.57</v>
      </c>
      <c r="E912" s="184">
        <f t="shared" si="44"/>
        <v>20.21</v>
      </c>
      <c r="F912" s="271" t="s">
        <v>23</v>
      </c>
      <c r="G912" s="271" t="s">
        <v>725</v>
      </c>
      <c r="H912" s="139">
        <v>1300</v>
      </c>
      <c r="I912" s="139">
        <f t="shared" si="92"/>
        <v>26273</v>
      </c>
      <c r="J912" s="139">
        <v>0</v>
      </c>
      <c r="K912" s="139">
        <f t="shared" si="93"/>
        <v>26273</v>
      </c>
      <c r="L912" s="139">
        <v>0</v>
      </c>
      <c r="M912" s="139">
        <f t="shared" si="94"/>
        <v>26273</v>
      </c>
      <c r="N912" s="272" t="s">
        <v>25</v>
      </c>
    </row>
    <row r="913" spans="1:14" ht="15.75" customHeight="1" thickBot="1" x14ac:dyDescent="0.3">
      <c r="A913" s="183">
        <v>45961</v>
      </c>
      <c r="B913" s="271" t="s">
        <v>22</v>
      </c>
      <c r="C913" s="184">
        <v>29.84</v>
      </c>
      <c r="D913" s="184">
        <v>9.61</v>
      </c>
      <c r="E913" s="184">
        <f t="shared" si="44"/>
        <v>20.23</v>
      </c>
      <c r="F913" s="271" t="s">
        <v>23</v>
      </c>
      <c r="G913" s="271" t="s">
        <v>726</v>
      </c>
      <c r="H913" s="139">
        <v>1400</v>
      </c>
      <c r="I913" s="139">
        <f t="shared" si="92"/>
        <v>28322</v>
      </c>
      <c r="J913" s="139">
        <v>1500</v>
      </c>
      <c r="K913" s="139">
        <f t="shared" si="93"/>
        <v>29822</v>
      </c>
      <c r="L913" s="139">
        <v>0</v>
      </c>
      <c r="M913" s="139">
        <f t="shared" si="94"/>
        <v>29822</v>
      </c>
      <c r="N913" s="272" t="s">
        <v>575</v>
      </c>
    </row>
    <row r="914" spans="1:14" ht="15.75" customHeight="1" thickBot="1" x14ac:dyDescent="0.3">
      <c r="A914" s="475" t="s">
        <v>83</v>
      </c>
      <c r="B914" s="476"/>
      <c r="C914" s="200">
        <f>SUM(C833:C913)</f>
        <v>2173.2599999999993</v>
      </c>
      <c r="D914" s="200">
        <f>SUM(D833:D913)</f>
        <v>728.11</v>
      </c>
      <c r="E914" s="200">
        <f>SUM(E833:E913)</f>
        <v>1445.15</v>
      </c>
      <c r="F914" s="201"/>
      <c r="G914" s="201"/>
      <c r="H914" s="172">
        <f t="shared" ref="H914:M914" si="95">SUM(H833:H913)</f>
        <v>79215</v>
      </c>
      <c r="I914" s="172">
        <f t="shared" si="95"/>
        <v>1340994.8500000001</v>
      </c>
      <c r="J914" s="172">
        <f t="shared" si="95"/>
        <v>12602</v>
      </c>
      <c r="K914" s="172">
        <f t="shared" si="95"/>
        <v>1353596.85</v>
      </c>
      <c r="L914" s="172">
        <f t="shared" si="95"/>
        <v>3199.8</v>
      </c>
      <c r="M914" s="172">
        <f t="shared" si="95"/>
        <v>1350397.05</v>
      </c>
      <c r="N914" s="202"/>
    </row>
    <row r="915" spans="1:14" ht="15.75" customHeight="1" x14ac:dyDescent="0.25"/>
    <row r="916" spans="1:14" ht="6.75" customHeight="1" x14ac:dyDescent="0.25"/>
    <row r="917" spans="1:14" ht="39.75" customHeight="1" thickBot="1" x14ac:dyDescent="0.3">
      <c r="A917" s="455" t="s">
        <v>727</v>
      </c>
      <c r="B917" s="456"/>
      <c r="C917" s="456"/>
      <c r="D917" s="456"/>
      <c r="E917" s="456"/>
      <c r="F917" s="456"/>
      <c r="G917" s="456"/>
      <c r="H917" s="456"/>
      <c r="I917" s="456"/>
      <c r="J917" s="456"/>
      <c r="K917" s="456"/>
      <c r="L917" s="456"/>
      <c r="M917" s="456"/>
      <c r="N917" s="456"/>
    </row>
    <row r="918" spans="1:14" ht="20.25" customHeight="1" thickBot="1" x14ac:dyDescent="0.3">
      <c r="A918" s="193" t="s">
        <v>1</v>
      </c>
      <c r="B918" s="194" t="s">
        <v>2</v>
      </c>
      <c r="C918" s="194" t="s">
        <v>3</v>
      </c>
      <c r="D918" s="194" t="s">
        <v>4</v>
      </c>
      <c r="E918" s="194" t="s">
        <v>5</v>
      </c>
      <c r="F918" s="194" t="s">
        <v>6</v>
      </c>
      <c r="G918" s="194" t="s">
        <v>7</v>
      </c>
      <c r="H918" s="194" t="s">
        <v>8</v>
      </c>
      <c r="I918" s="194" t="s">
        <v>9</v>
      </c>
      <c r="J918" s="194" t="s">
        <v>10</v>
      </c>
      <c r="K918" s="194" t="s">
        <v>11</v>
      </c>
      <c r="L918" s="194" t="s">
        <v>12</v>
      </c>
      <c r="M918" s="194" t="s">
        <v>13</v>
      </c>
      <c r="N918" s="195" t="s">
        <v>14</v>
      </c>
    </row>
    <row r="919" spans="1:14" ht="15.75" customHeight="1" x14ac:dyDescent="0.25">
      <c r="A919" s="179">
        <v>45962</v>
      </c>
      <c r="B919" s="180" t="s">
        <v>22</v>
      </c>
      <c r="C919" s="180">
        <v>29.29</v>
      </c>
      <c r="D919" s="180">
        <v>9.6199999999999992</v>
      </c>
      <c r="E919" s="180">
        <f t="shared" ref="E919:E925" si="96">C919-D919</f>
        <v>19.670000000000002</v>
      </c>
      <c r="F919" s="288" t="s">
        <v>23</v>
      </c>
      <c r="G919" s="288" t="s">
        <v>725</v>
      </c>
      <c r="H919" s="181">
        <v>1300</v>
      </c>
      <c r="I919" s="181">
        <f t="shared" ref="I919" si="97">H919*E919</f>
        <v>25571.000000000004</v>
      </c>
      <c r="J919" s="181">
        <v>0</v>
      </c>
      <c r="K919" s="181">
        <f t="shared" ref="K919" si="98">I919+J919</f>
        <v>25571.000000000004</v>
      </c>
      <c r="L919" s="181">
        <v>0</v>
      </c>
      <c r="M919" s="181">
        <f t="shared" ref="M919" si="99">K919-L919</f>
        <v>25571.000000000004</v>
      </c>
      <c r="N919" s="298" t="s">
        <v>25</v>
      </c>
    </row>
    <row r="920" spans="1:14" ht="15.75" customHeight="1" x14ac:dyDescent="0.25">
      <c r="A920" s="183">
        <v>45962</v>
      </c>
      <c r="B920" s="184" t="s">
        <v>67</v>
      </c>
      <c r="C920" s="184">
        <v>29.06</v>
      </c>
      <c r="D920" s="184">
        <v>9.51</v>
      </c>
      <c r="E920" s="184">
        <f t="shared" si="96"/>
        <v>19.549999999999997</v>
      </c>
      <c r="F920" s="271" t="s">
        <v>23</v>
      </c>
      <c r="G920" s="271" t="s">
        <v>725</v>
      </c>
      <c r="H920" s="139">
        <v>1300</v>
      </c>
      <c r="I920" s="139">
        <f t="shared" ref="I920:I925" si="100">H920*E920</f>
        <v>25414.999999999996</v>
      </c>
      <c r="J920" s="139">
        <v>0</v>
      </c>
      <c r="K920" s="139">
        <f t="shared" ref="K920:K921" si="101">I920+J920</f>
        <v>25414.999999999996</v>
      </c>
      <c r="L920" s="139">
        <v>0</v>
      </c>
      <c r="M920" s="139">
        <f t="shared" ref="M920:M921" si="102">K920-L920</f>
        <v>25414.999999999996</v>
      </c>
      <c r="N920" s="272" t="s">
        <v>25</v>
      </c>
    </row>
    <row r="921" spans="1:14" ht="15.75" customHeight="1" x14ac:dyDescent="0.25">
      <c r="A921" s="183">
        <v>45962</v>
      </c>
      <c r="B921" s="184" t="s">
        <v>67</v>
      </c>
      <c r="C921" s="184">
        <v>19.72</v>
      </c>
      <c r="D921" s="184">
        <v>9.64</v>
      </c>
      <c r="E921" s="184">
        <f t="shared" si="96"/>
        <v>10.079999999999998</v>
      </c>
      <c r="F921" s="271" t="s">
        <v>23</v>
      </c>
      <c r="G921" s="282" t="s">
        <v>728</v>
      </c>
      <c r="H921" s="139">
        <v>1350</v>
      </c>
      <c r="I921" s="139">
        <f t="shared" si="100"/>
        <v>13607.999999999998</v>
      </c>
      <c r="J921" s="139">
        <v>1500</v>
      </c>
      <c r="K921" s="139">
        <f t="shared" si="101"/>
        <v>15107.999999999998</v>
      </c>
      <c r="L921" s="139">
        <v>108</v>
      </c>
      <c r="M921" s="139">
        <f t="shared" si="102"/>
        <v>14999.999999999998</v>
      </c>
      <c r="N921" s="283" t="s">
        <v>20</v>
      </c>
    </row>
    <row r="922" spans="1:14" ht="15.75" customHeight="1" x14ac:dyDescent="0.25">
      <c r="A922" s="183">
        <v>45964</v>
      </c>
      <c r="B922" s="184" t="s">
        <v>729</v>
      </c>
      <c r="C922" s="184">
        <v>20.16</v>
      </c>
      <c r="D922" s="184">
        <v>9.4499999999999993</v>
      </c>
      <c r="E922" s="184">
        <f t="shared" si="96"/>
        <v>10.71</v>
      </c>
      <c r="F922" s="271" t="s">
        <v>23</v>
      </c>
      <c r="G922" s="282" t="s">
        <v>730</v>
      </c>
      <c r="H922" s="139">
        <v>1350</v>
      </c>
      <c r="I922" s="139">
        <f t="shared" si="100"/>
        <v>14458.500000000002</v>
      </c>
      <c r="J922" s="139">
        <v>0</v>
      </c>
      <c r="K922" s="139">
        <f t="shared" ref="K922:K925" si="103">I922+J922</f>
        <v>14458.500000000002</v>
      </c>
      <c r="L922" s="139">
        <v>58.5</v>
      </c>
      <c r="M922" s="139">
        <f t="shared" ref="M922:M925" si="104">K922-L922</f>
        <v>14400.000000000002</v>
      </c>
      <c r="N922" s="283" t="s">
        <v>20</v>
      </c>
    </row>
    <row r="923" spans="1:14" ht="15.75" customHeight="1" x14ac:dyDescent="0.25">
      <c r="A923" s="183">
        <v>45964</v>
      </c>
      <c r="B923" s="184" t="s">
        <v>49</v>
      </c>
      <c r="C923" s="184">
        <v>29.42</v>
      </c>
      <c r="D923" s="184">
        <v>9.3800000000000008</v>
      </c>
      <c r="E923" s="184">
        <f t="shared" si="96"/>
        <v>20.04</v>
      </c>
      <c r="F923" s="271" t="s">
        <v>23</v>
      </c>
      <c r="G923" s="282" t="s">
        <v>725</v>
      </c>
      <c r="H923" s="198">
        <v>1300</v>
      </c>
      <c r="I923" s="198">
        <f t="shared" si="100"/>
        <v>26052</v>
      </c>
      <c r="J923" s="198">
        <v>0</v>
      </c>
      <c r="K923" s="198">
        <f t="shared" si="103"/>
        <v>26052</v>
      </c>
      <c r="L923" s="198">
        <v>0</v>
      </c>
      <c r="M923" s="198">
        <f t="shared" si="104"/>
        <v>26052</v>
      </c>
      <c r="N923" s="284" t="s">
        <v>44</v>
      </c>
    </row>
    <row r="924" spans="1:14" ht="15.75" customHeight="1" x14ac:dyDescent="0.25">
      <c r="A924" s="183">
        <v>45964</v>
      </c>
      <c r="B924" s="184" t="s">
        <v>67</v>
      </c>
      <c r="C924" s="184">
        <v>31.19</v>
      </c>
      <c r="D924" s="184">
        <v>9.4499999999999993</v>
      </c>
      <c r="E924" s="184">
        <f t="shared" si="96"/>
        <v>21.740000000000002</v>
      </c>
      <c r="F924" s="271" t="s">
        <v>23</v>
      </c>
      <c r="G924" s="282" t="s">
        <v>725</v>
      </c>
      <c r="H924" s="198">
        <v>1300</v>
      </c>
      <c r="I924" s="198">
        <f t="shared" si="100"/>
        <v>28262.000000000004</v>
      </c>
      <c r="J924" s="198">
        <v>0</v>
      </c>
      <c r="K924" s="198">
        <f t="shared" si="103"/>
        <v>28262.000000000004</v>
      </c>
      <c r="L924" s="198">
        <v>0</v>
      </c>
      <c r="M924" s="198">
        <f t="shared" si="104"/>
        <v>28262.000000000004</v>
      </c>
      <c r="N924" s="284" t="s">
        <v>44</v>
      </c>
    </row>
    <row r="925" spans="1:14" ht="15.75" customHeight="1" x14ac:dyDescent="0.25">
      <c r="A925" s="183">
        <v>45964</v>
      </c>
      <c r="B925" s="184" t="s">
        <v>58</v>
      </c>
      <c r="C925" s="184">
        <v>27.65</v>
      </c>
      <c r="D925" s="184">
        <v>9.8000000000000007</v>
      </c>
      <c r="E925" s="184">
        <f t="shared" si="96"/>
        <v>17.849999999999998</v>
      </c>
      <c r="F925" s="282" t="s">
        <v>35</v>
      </c>
      <c r="G925" s="282" t="s">
        <v>731</v>
      </c>
      <c r="H925" s="139">
        <v>1100</v>
      </c>
      <c r="I925" s="139">
        <f t="shared" si="100"/>
        <v>19634.999999999996</v>
      </c>
      <c r="J925" s="139">
        <v>0</v>
      </c>
      <c r="K925" s="139">
        <f t="shared" si="103"/>
        <v>19634.999999999996</v>
      </c>
      <c r="L925" s="139">
        <v>0</v>
      </c>
      <c r="M925" s="139">
        <f t="shared" si="104"/>
        <v>19634.999999999996</v>
      </c>
      <c r="N925" s="284" t="s">
        <v>44</v>
      </c>
    </row>
    <row r="926" spans="1:14" ht="15.75" customHeight="1" x14ac:dyDescent="0.25">
      <c r="A926" s="183">
        <v>45967</v>
      </c>
      <c r="B926" s="184" t="s">
        <v>67</v>
      </c>
      <c r="C926" s="184">
        <v>30.12</v>
      </c>
      <c r="D926" s="184">
        <v>9.86</v>
      </c>
      <c r="E926" s="184">
        <f t="shared" ref="E926:E1013" si="105">C926-D926</f>
        <v>20.260000000000002</v>
      </c>
      <c r="F926" s="282" t="s">
        <v>35</v>
      </c>
      <c r="G926" s="282" t="s">
        <v>733</v>
      </c>
      <c r="H926" s="139">
        <v>1250</v>
      </c>
      <c r="I926" s="139">
        <f t="shared" ref="I926:I927" si="106">H926*E926</f>
        <v>25325.000000000004</v>
      </c>
      <c r="J926" s="139">
        <v>2000</v>
      </c>
      <c r="K926" s="139">
        <f t="shared" ref="K926:K927" si="107">I926+J926</f>
        <v>27325.000000000004</v>
      </c>
      <c r="L926" s="139">
        <v>0</v>
      </c>
      <c r="M926" s="139">
        <f t="shared" ref="M926:M927" si="108">K926-L926</f>
        <v>27325.000000000004</v>
      </c>
      <c r="N926" s="284" t="s">
        <v>25</v>
      </c>
    </row>
    <row r="927" spans="1:14" ht="15.75" customHeight="1" x14ac:dyDescent="0.25">
      <c r="A927" s="183">
        <v>45967</v>
      </c>
      <c r="B927" s="184" t="s">
        <v>49</v>
      </c>
      <c r="C927" s="184">
        <v>30.55</v>
      </c>
      <c r="D927" s="184">
        <v>9.7799999999999994</v>
      </c>
      <c r="E927" s="184">
        <f t="shared" si="105"/>
        <v>20.770000000000003</v>
      </c>
      <c r="F927" s="282" t="s">
        <v>26</v>
      </c>
      <c r="G927" s="282" t="s">
        <v>48</v>
      </c>
      <c r="H927" s="139">
        <v>1225</v>
      </c>
      <c r="I927" s="139">
        <f t="shared" si="106"/>
        <v>25443.250000000004</v>
      </c>
      <c r="J927" s="139">
        <v>0</v>
      </c>
      <c r="K927" s="139">
        <f t="shared" si="107"/>
        <v>25443.250000000004</v>
      </c>
      <c r="L927" s="139">
        <v>0</v>
      </c>
      <c r="M927" s="139">
        <f t="shared" si="108"/>
        <v>25443.250000000004</v>
      </c>
      <c r="N927" s="213" t="s">
        <v>647</v>
      </c>
    </row>
    <row r="928" spans="1:14" ht="15.75" customHeight="1" x14ac:dyDescent="0.25">
      <c r="A928" s="183">
        <v>45967</v>
      </c>
      <c r="B928" s="184" t="s">
        <v>51</v>
      </c>
      <c r="C928" s="184">
        <v>28.63</v>
      </c>
      <c r="D928" s="184">
        <v>9.4600000000000009</v>
      </c>
      <c r="E928" s="184">
        <f t="shared" si="105"/>
        <v>19.169999999999998</v>
      </c>
      <c r="F928" s="282" t="s">
        <v>26</v>
      </c>
      <c r="G928" s="282" t="s">
        <v>48</v>
      </c>
      <c r="H928" s="139">
        <v>1225</v>
      </c>
      <c r="I928" s="139">
        <f t="shared" ref="I928:I932" si="109">H928*E928</f>
        <v>23483.249999999996</v>
      </c>
      <c r="J928" s="139">
        <v>0</v>
      </c>
      <c r="K928" s="139">
        <f t="shared" ref="K928:K932" si="110">I928+J928</f>
        <v>23483.249999999996</v>
      </c>
      <c r="L928" s="139">
        <v>0</v>
      </c>
      <c r="M928" s="139">
        <f t="shared" ref="M928:M932" si="111">K928-L928</f>
        <v>23483.249999999996</v>
      </c>
      <c r="N928" s="213" t="s">
        <v>647</v>
      </c>
    </row>
    <row r="929" spans="1:14" ht="15.75" customHeight="1" x14ac:dyDescent="0.25">
      <c r="A929" s="183">
        <v>45967</v>
      </c>
      <c r="B929" s="184" t="s">
        <v>577</v>
      </c>
      <c r="C929" s="184">
        <v>17.559999999999999</v>
      </c>
      <c r="D929" s="184">
        <v>9.74</v>
      </c>
      <c r="E929" s="184">
        <f t="shared" si="105"/>
        <v>7.8199999999999985</v>
      </c>
      <c r="F929" s="282" t="s">
        <v>23</v>
      </c>
      <c r="G929" s="282" t="s">
        <v>734</v>
      </c>
      <c r="H929" s="139">
        <v>1400</v>
      </c>
      <c r="I929" s="139">
        <f t="shared" si="109"/>
        <v>10947.999999999998</v>
      </c>
      <c r="J929" s="139">
        <v>2002</v>
      </c>
      <c r="K929" s="139">
        <f t="shared" si="110"/>
        <v>12949.999999999998</v>
      </c>
      <c r="L929" s="139">
        <v>0</v>
      </c>
      <c r="M929" s="139">
        <f t="shared" si="111"/>
        <v>12949.999999999998</v>
      </c>
      <c r="N929" s="283" t="s">
        <v>20</v>
      </c>
    </row>
    <row r="930" spans="1:14" ht="15.75" customHeight="1" x14ac:dyDescent="0.25">
      <c r="A930" s="183">
        <v>45968</v>
      </c>
      <c r="B930" s="184" t="s">
        <v>67</v>
      </c>
      <c r="C930" s="184">
        <v>19.899999999999999</v>
      </c>
      <c r="D930" s="184">
        <v>9.7100000000000009</v>
      </c>
      <c r="E930" s="184">
        <f t="shared" si="105"/>
        <v>10.189999999999998</v>
      </c>
      <c r="F930" s="282" t="s">
        <v>23</v>
      </c>
      <c r="G930" s="282" t="s">
        <v>735</v>
      </c>
      <c r="H930" s="139">
        <v>1350</v>
      </c>
      <c r="I930" s="139">
        <f t="shared" si="109"/>
        <v>13756.499999999996</v>
      </c>
      <c r="J930" s="139">
        <v>1000</v>
      </c>
      <c r="K930" s="139">
        <f t="shared" si="110"/>
        <v>14756.499999999996</v>
      </c>
      <c r="L930" s="139">
        <v>56.5</v>
      </c>
      <c r="M930" s="139">
        <f t="shared" si="111"/>
        <v>14699.999999999996</v>
      </c>
      <c r="N930" s="283" t="s">
        <v>20</v>
      </c>
    </row>
    <row r="931" spans="1:14" ht="15.75" customHeight="1" x14ac:dyDescent="0.25">
      <c r="A931" s="183">
        <v>45969</v>
      </c>
      <c r="B931" s="184" t="s">
        <v>577</v>
      </c>
      <c r="C931" s="184">
        <v>26.83</v>
      </c>
      <c r="D931" s="184">
        <v>9.4499999999999993</v>
      </c>
      <c r="E931" s="184">
        <f t="shared" si="105"/>
        <v>17.38</v>
      </c>
      <c r="F931" s="282" t="s">
        <v>18</v>
      </c>
      <c r="G931" s="282" t="s">
        <v>50</v>
      </c>
      <c r="H931" s="139">
        <v>1200</v>
      </c>
      <c r="I931" s="139">
        <f t="shared" si="109"/>
        <v>20856</v>
      </c>
      <c r="J931" s="139">
        <v>0</v>
      </c>
      <c r="K931" s="139">
        <f t="shared" si="110"/>
        <v>20856</v>
      </c>
      <c r="L931" s="139">
        <v>0</v>
      </c>
      <c r="M931" s="139">
        <f t="shared" si="111"/>
        <v>20856</v>
      </c>
      <c r="N931" s="283" t="s">
        <v>44</v>
      </c>
    </row>
    <row r="932" spans="1:14" ht="15.75" customHeight="1" x14ac:dyDescent="0.25">
      <c r="A932" s="183">
        <v>45969</v>
      </c>
      <c r="B932" s="184" t="s">
        <v>577</v>
      </c>
      <c r="C932" s="184">
        <v>27.98</v>
      </c>
      <c r="D932" s="184">
        <v>9.3699999999999992</v>
      </c>
      <c r="E932" s="184">
        <f t="shared" si="105"/>
        <v>18.61</v>
      </c>
      <c r="F932" s="282" t="s">
        <v>18</v>
      </c>
      <c r="G932" s="282" t="s">
        <v>50</v>
      </c>
      <c r="H932" s="139">
        <v>1200</v>
      </c>
      <c r="I932" s="139">
        <f t="shared" si="109"/>
        <v>22332</v>
      </c>
      <c r="J932" s="139">
        <v>0</v>
      </c>
      <c r="K932" s="139">
        <f t="shared" si="110"/>
        <v>22332</v>
      </c>
      <c r="L932" s="139">
        <v>0</v>
      </c>
      <c r="M932" s="139">
        <f t="shared" si="111"/>
        <v>22332</v>
      </c>
      <c r="N932" s="283" t="s">
        <v>44</v>
      </c>
    </row>
    <row r="933" spans="1:14" ht="15.75" customHeight="1" x14ac:dyDescent="0.25">
      <c r="A933" s="183">
        <v>45970</v>
      </c>
      <c r="B933" s="184" t="s">
        <v>577</v>
      </c>
      <c r="C933" s="184">
        <v>28.29</v>
      </c>
      <c r="D933" s="184">
        <v>9.85</v>
      </c>
      <c r="E933" s="184">
        <f t="shared" si="105"/>
        <v>18.439999999999998</v>
      </c>
      <c r="F933" s="282" t="s">
        <v>18</v>
      </c>
      <c r="G933" s="282" t="s">
        <v>50</v>
      </c>
      <c r="H933" s="139">
        <v>1200</v>
      </c>
      <c r="I933" s="139">
        <f t="shared" ref="I933:I935" si="112">H933*E933</f>
        <v>22127.999999999996</v>
      </c>
      <c r="J933" s="139">
        <v>0</v>
      </c>
      <c r="K933" s="139">
        <f t="shared" ref="K933:K935" si="113">I933+J933</f>
        <v>22127.999999999996</v>
      </c>
      <c r="L933" s="139">
        <v>0</v>
      </c>
      <c r="M933" s="139">
        <f t="shared" ref="M933:M935" si="114">K933-L933</f>
        <v>22127.999999999996</v>
      </c>
      <c r="N933" s="283" t="s">
        <v>44</v>
      </c>
    </row>
    <row r="934" spans="1:14" ht="15.75" customHeight="1" x14ac:dyDescent="0.25">
      <c r="A934" s="183">
        <v>45970</v>
      </c>
      <c r="B934" s="184" t="s">
        <v>577</v>
      </c>
      <c r="C934" s="184">
        <v>27.67</v>
      </c>
      <c r="D934" s="184">
        <v>9.4600000000000009</v>
      </c>
      <c r="E934" s="184">
        <f t="shared" si="105"/>
        <v>18.21</v>
      </c>
      <c r="F934" s="282" t="s">
        <v>18</v>
      </c>
      <c r="G934" s="282" t="s">
        <v>50</v>
      </c>
      <c r="H934" s="139">
        <v>1200</v>
      </c>
      <c r="I934" s="139">
        <f t="shared" si="112"/>
        <v>21852</v>
      </c>
      <c r="J934" s="139">
        <v>0</v>
      </c>
      <c r="K934" s="139">
        <f t="shared" si="113"/>
        <v>21852</v>
      </c>
      <c r="L934" s="139">
        <v>0</v>
      </c>
      <c r="M934" s="139">
        <f t="shared" si="114"/>
        <v>21852</v>
      </c>
      <c r="N934" s="283" t="s">
        <v>44</v>
      </c>
    </row>
    <row r="935" spans="1:14" ht="15.75" customHeight="1" x14ac:dyDescent="0.25">
      <c r="A935" s="183">
        <v>45970</v>
      </c>
      <c r="B935" s="184" t="s">
        <v>577</v>
      </c>
      <c r="C935" s="184">
        <v>27.53</v>
      </c>
      <c r="D935" s="184">
        <v>9.5399999999999991</v>
      </c>
      <c r="E935" s="184">
        <f t="shared" si="105"/>
        <v>17.990000000000002</v>
      </c>
      <c r="F935" s="282" t="s">
        <v>18</v>
      </c>
      <c r="G935" s="282" t="s">
        <v>50</v>
      </c>
      <c r="H935" s="139">
        <v>1200</v>
      </c>
      <c r="I935" s="139">
        <f t="shared" si="112"/>
        <v>21588.000000000004</v>
      </c>
      <c r="J935" s="139">
        <v>0</v>
      </c>
      <c r="K935" s="139">
        <f t="shared" si="113"/>
        <v>21588.000000000004</v>
      </c>
      <c r="L935" s="139">
        <v>0</v>
      </c>
      <c r="M935" s="139">
        <f t="shared" si="114"/>
        <v>21588.000000000004</v>
      </c>
      <c r="N935" s="283" t="s">
        <v>44</v>
      </c>
    </row>
    <row r="936" spans="1:14" ht="15.75" customHeight="1" x14ac:dyDescent="0.25">
      <c r="A936" s="183">
        <v>45971</v>
      </c>
      <c r="B936" s="184" t="s">
        <v>577</v>
      </c>
      <c r="C936" s="184">
        <v>30.25</v>
      </c>
      <c r="D936" s="184">
        <v>9.5500000000000007</v>
      </c>
      <c r="E936" s="184">
        <f t="shared" si="105"/>
        <v>20.7</v>
      </c>
      <c r="F936" s="282" t="s">
        <v>35</v>
      </c>
      <c r="G936" s="282" t="s">
        <v>50</v>
      </c>
      <c r="H936" s="139">
        <v>1200</v>
      </c>
      <c r="I936" s="139">
        <f t="shared" ref="I936:I940" si="115">H936*E936</f>
        <v>24840</v>
      </c>
      <c r="J936" s="139">
        <v>0</v>
      </c>
      <c r="K936" s="139">
        <f t="shared" ref="K936:K940" si="116">I936+J936</f>
        <v>24840</v>
      </c>
      <c r="L936" s="139">
        <v>0</v>
      </c>
      <c r="M936" s="139">
        <f t="shared" ref="M936:M940" si="117">K936-L936</f>
        <v>24840</v>
      </c>
      <c r="N936" s="283" t="s">
        <v>44</v>
      </c>
    </row>
    <row r="937" spans="1:14" ht="15.75" customHeight="1" x14ac:dyDescent="0.25">
      <c r="A937" s="183">
        <v>45971</v>
      </c>
      <c r="B937" s="184" t="s">
        <v>577</v>
      </c>
      <c r="C937" s="184">
        <v>29.91</v>
      </c>
      <c r="D937" s="184">
        <v>9.61</v>
      </c>
      <c r="E937" s="184">
        <f t="shared" si="105"/>
        <v>20.3</v>
      </c>
      <c r="F937" s="282" t="s">
        <v>35</v>
      </c>
      <c r="G937" s="282" t="s">
        <v>50</v>
      </c>
      <c r="H937" s="139">
        <v>1200</v>
      </c>
      <c r="I937" s="139">
        <f t="shared" si="115"/>
        <v>24360</v>
      </c>
      <c r="J937" s="139">
        <v>0</v>
      </c>
      <c r="K937" s="139">
        <f t="shared" si="116"/>
        <v>24360</v>
      </c>
      <c r="L937" s="139">
        <v>0</v>
      </c>
      <c r="M937" s="139">
        <f t="shared" si="117"/>
        <v>24360</v>
      </c>
      <c r="N937" s="283" t="s">
        <v>44</v>
      </c>
    </row>
    <row r="938" spans="1:14" ht="15.75" customHeight="1" x14ac:dyDescent="0.25">
      <c r="A938" s="183">
        <v>45971</v>
      </c>
      <c r="B938" s="184" t="s">
        <v>577</v>
      </c>
      <c r="C938" s="184">
        <v>29.35</v>
      </c>
      <c r="D938" s="184">
        <v>9.92</v>
      </c>
      <c r="E938" s="184">
        <f t="shared" si="105"/>
        <v>19.43</v>
      </c>
      <c r="F938" s="282" t="s">
        <v>35</v>
      </c>
      <c r="G938" s="282" t="s">
        <v>50</v>
      </c>
      <c r="H938" s="139">
        <v>1200</v>
      </c>
      <c r="I938" s="139">
        <f t="shared" si="115"/>
        <v>23316</v>
      </c>
      <c r="J938" s="139">
        <v>0</v>
      </c>
      <c r="K938" s="139">
        <f t="shared" si="116"/>
        <v>23316</v>
      </c>
      <c r="L938" s="139">
        <v>0</v>
      </c>
      <c r="M938" s="139">
        <f t="shared" si="117"/>
        <v>23316</v>
      </c>
      <c r="N938" s="283" t="s">
        <v>44</v>
      </c>
    </row>
    <row r="939" spans="1:14" ht="15.75" customHeight="1" x14ac:dyDescent="0.25">
      <c r="A939" s="183">
        <v>45972</v>
      </c>
      <c r="B939" s="184" t="s">
        <v>49</v>
      </c>
      <c r="C939" s="184">
        <v>29.38</v>
      </c>
      <c r="D939" s="184">
        <v>9.52</v>
      </c>
      <c r="E939" s="184">
        <f t="shared" si="105"/>
        <v>19.86</v>
      </c>
      <c r="F939" s="282" t="s">
        <v>23</v>
      </c>
      <c r="G939" s="282" t="s">
        <v>736</v>
      </c>
      <c r="H939" s="139">
        <v>1325</v>
      </c>
      <c r="I939" s="139">
        <f t="shared" si="115"/>
        <v>26314.5</v>
      </c>
      <c r="J939" s="139">
        <v>0</v>
      </c>
      <c r="K939" s="139">
        <f t="shared" si="116"/>
        <v>26314.5</v>
      </c>
      <c r="L939" s="139">
        <v>0</v>
      </c>
      <c r="M939" s="139">
        <f t="shared" si="117"/>
        <v>26314.5</v>
      </c>
      <c r="N939" s="283" t="s">
        <v>44</v>
      </c>
    </row>
    <row r="940" spans="1:14" ht="15.75" customHeight="1" x14ac:dyDescent="0.25">
      <c r="A940" s="183">
        <v>45972</v>
      </c>
      <c r="B940" s="184" t="s">
        <v>88</v>
      </c>
      <c r="C940" s="184">
        <v>30.25</v>
      </c>
      <c r="D940" s="184">
        <v>9.82</v>
      </c>
      <c r="E940" s="184">
        <f t="shared" si="105"/>
        <v>20.43</v>
      </c>
      <c r="F940" s="282" t="s">
        <v>23</v>
      </c>
      <c r="G940" s="282" t="s">
        <v>736</v>
      </c>
      <c r="H940" s="139">
        <v>1325</v>
      </c>
      <c r="I940" s="139">
        <f t="shared" si="115"/>
        <v>27069.75</v>
      </c>
      <c r="J940" s="139">
        <v>0</v>
      </c>
      <c r="K940" s="139">
        <f t="shared" si="116"/>
        <v>27069.75</v>
      </c>
      <c r="L940" s="139">
        <v>0</v>
      </c>
      <c r="M940" s="139">
        <f t="shared" si="117"/>
        <v>27069.75</v>
      </c>
      <c r="N940" s="283" t="s">
        <v>44</v>
      </c>
    </row>
    <row r="941" spans="1:14" ht="15.75" customHeight="1" x14ac:dyDescent="0.25">
      <c r="A941" s="183">
        <v>45972</v>
      </c>
      <c r="B941" s="184" t="s">
        <v>51</v>
      </c>
      <c r="C941" s="184">
        <v>29.22</v>
      </c>
      <c r="D941" s="184">
        <v>9.4499999999999993</v>
      </c>
      <c r="E941" s="184">
        <f t="shared" si="105"/>
        <v>19.77</v>
      </c>
      <c r="F941" s="282" t="s">
        <v>35</v>
      </c>
      <c r="G941" s="282" t="s">
        <v>50</v>
      </c>
      <c r="H941" s="139">
        <v>1200</v>
      </c>
      <c r="I941" s="139">
        <f t="shared" ref="I941" si="118">H941*E941</f>
        <v>23724</v>
      </c>
      <c r="J941" s="139">
        <v>0</v>
      </c>
      <c r="K941" s="139">
        <f t="shared" ref="K941" si="119">I941+J941</f>
        <v>23724</v>
      </c>
      <c r="L941" s="139">
        <v>0</v>
      </c>
      <c r="M941" s="139">
        <f t="shared" ref="M941" si="120">K941-L941</f>
        <v>23724</v>
      </c>
      <c r="N941" s="283" t="s">
        <v>44</v>
      </c>
    </row>
    <row r="942" spans="1:14" ht="15.75" customHeight="1" x14ac:dyDescent="0.25">
      <c r="A942" s="183">
        <v>45972</v>
      </c>
      <c r="B942" s="184" t="s">
        <v>577</v>
      </c>
      <c r="C942" s="184">
        <v>30.21</v>
      </c>
      <c r="D942" s="184">
        <v>9.32</v>
      </c>
      <c r="E942" s="184">
        <f t="shared" si="105"/>
        <v>20.89</v>
      </c>
      <c r="F942" s="282" t="s">
        <v>35</v>
      </c>
      <c r="G942" s="282" t="s">
        <v>50</v>
      </c>
      <c r="H942" s="139">
        <v>1200</v>
      </c>
      <c r="I942" s="139">
        <f t="shared" ref="I942:I958" si="121">H942*E942</f>
        <v>25068</v>
      </c>
      <c r="J942" s="139">
        <v>0</v>
      </c>
      <c r="K942" s="139">
        <f t="shared" ref="K942" si="122">I942+J942</f>
        <v>25068</v>
      </c>
      <c r="L942" s="139">
        <v>0</v>
      </c>
      <c r="M942" s="139">
        <f t="shared" ref="M942" si="123">K942-L942</f>
        <v>25068</v>
      </c>
      <c r="N942" s="283" t="s">
        <v>44</v>
      </c>
    </row>
    <row r="943" spans="1:14" ht="15.75" customHeight="1" x14ac:dyDescent="0.25">
      <c r="A943" s="183">
        <v>45972</v>
      </c>
      <c r="B943" s="184" t="s">
        <v>47</v>
      </c>
      <c r="C943" s="184">
        <v>28.55</v>
      </c>
      <c r="D943" s="184">
        <v>9.15</v>
      </c>
      <c r="E943" s="184">
        <f t="shared" si="105"/>
        <v>19.399999999999999</v>
      </c>
      <c r="F943" s="282" t="s">
        <v>29</v>
      </c>
      <c r="G943" s="282" t="s">
        <v>731</v>
      </c>
      <c r="H943" s="139">
        <v>600</v>
      </c>
      <c r="I943" s="139">
        <f t="shared" si="121"/>
        <v>11640</v>
      </c>
      <c r="J943" s="139">
        <v>0</v>
      </c>
      <c r="K943" s="139">
        <f t="shared" ref="K943" si="124">I943+J943</f>
        <v>11640</v>
      </c>
      <c r="L943" s="139">
        <v>0</v>
      </c>
      <c r="M943" s="139">
        <f t="shared" ref="M943" si="125">K943-L943</f>
        <v>11640</v>
      </c>
      <c r="N943" s="283" t="s">
        <v>44</v>
      </c>
    </row>
    <row r="944" spans="1:14" ht="15.75" customHeight="1" x14ac:dyDescent="0.25">
      <c r="A944" s="183">
        <v>45972</v>
      </c>
      <c r="B944" s="184" t="s">
        <v>88</v>
      </c>
      <c r="C944" s="184">
        <v>28.61</v>
      </c>
      <c r="D944" s="184">
        <v>9.68</v>
      </c>
      <c r="E944" s="184">
        <f t="shared" si="105"/>
        <v>18.93</v>
      </c>
      <c r="F944" s="282" t="s">
        <v>38</v>
      </c>
      <c r="G944" s="282" t="s">
        <v>50</v>
      </c>
      <c r="H944" s="139">
        <v>500</v>
      </c>
      <c r="I944" s="139">
        <f t="shared" si="121"/>
        <v>9465</v>
      </c>
      <c r="J944" s="139">
        <v>0</v>
      </c>
      <c r="K944" s="139">
        <f t="shared" ref="K944:K956" si="126">I944+J944</f>
        <v>9465</v>
      </c>
      <c r="L944" s="139">
        <v>0</v>
      </c>
      <c r="M944" s="139">
        <f t="shared" ref="M944:M956" si="127">K944-L944</f>
        <v>9465</v>
      </c>
      <c r="N944" s="283" t="s">
        <v>44</v>
      </c>
    </row>
    <row r="945" spans="1:14" ht="15.75" customHeight="1" x14ac:dyDescent="0.25">
      <c r="A945" s="183">
        <v>45972</v>
      </c>
      <c r="B945" s="184" t="s">
        <v>49</v>
      </c>
      <c r="C945" s="184">
        <v>29.36</v>
      </c>
      <c r="D945" s="184">
        <v>9.3699999999999992</v>
      </c>
      <c r="E945" s="184">
        <f t="shared" si="105"/>
        <v>19.990000000000002</v>
      </c>
      <c r="F945" s="282" t="s">
        <v>38</v>
      </c>
      <c r="G945" s="282" t="s">
        <v>50</v>
      </c>
      <c r="H945" s="139">
        <v>500</v>
      </c>
      <c r="I945" s="139">
        <f t="shared" si="121"/>
        <v>9995.0000000000018</v>
      </c>
      <c r="J945" s="139">
        <v>0</v>
      </c>
      <c r="K945" s="139">
        <f t="shared" si="126"/>
        <v>9995.0000000000018</v>
      </c>
      <c r="L945" s="139">
        <v>0</v>
      </c>
      <c r="M945" s="139">
        <f t="shared" si="127"/>
        <v>9995.0000000000018</v>
      </c>
      <c r="N945" s="283" t="s">
        <v>44</v>
      </c>
    </row>
    <row r="946" spans="1:14" ht="15.75" customHeight="1" x14ac:dyDescent="0.25">
      <c r="A946" s="183">
        <v>45972</v>
      </c>
      <c r="B946" s="184" t="s">
        <v>51</v>
      </c>
      <c r="C946" s="184">
        <v>30.48</v>
      </c>
      <c r="D946" s="184">
        <v>9.48</v>
      </c>
      <c r="E946" s="184">
        <f t="shared" si="105"/>
        <v>21</v>
      </c>
      <c r="F946" s="282" t="s">
        <v>38</v>
      </c>
      <c r="G946" s="282" t="s">
        <v>50</v>
      </c>
      <c r="H946" s="139">
        <v>500</v>
      </c>
      <c r="I946" s="139">
        <f t="shared" si="121"/>
        <v>10500</v>
      </c>
      <c r="J946" s="139">
        <v>0</v>
      </c>
      <c r="K946" s="139">
        <f t="shared" si="126"/>
        <v>10500</v>
      </c>
      <c r="L946" s="139">
        <v>0</v>
      </c>
      <c r="M946" s="139">
        <f t="shared" si="127"/>
        <v>10500</v>
      </c>
      <c r="N946" s="283" t="s">
        <v>44</v>
      </c>
    </row>
    <row r="947" spans="1:14" ht="15.75" customHeight="1" x14ac:dyDescent="0.25">
      <c r="A947" s="183">
        <v>45972</v>
      </c>
      <c r="B947" s="184" t="s">
        <v>577</v>
      </c>
      <c r="C947" s="184">
        <v>29.83</v>
      </c>
      <c r="D947" s="184">
        <v>9.52</v>
      </c>
      <c r="E947" s="184">
        <f t="shared" si="105"/>
        <v>20.309999999999999</v>
      </c>
      <c r="F947" s="282" t="s">
        <v>38</v>
      </c>
      <c r="G947" s="282" t="s">
        <v>50</v>
      </c>
      <c r="H947" s="139">
        <v>500</v>
      </c>
      <c r="I947" s="139">
        <f t="shared" si="121"/>
        <v>10155</v>
      </c>
      <c r="J947" s="139">
        <v>0</v>
      </c>
      <c r="K947" s="139">
        <f t="shared" si="126"/>
        <v>10155</v>
      </c>
      <c r="L947" s="139">
        <v>0</v>
      </c>
      <c r="M947" s="139">
        <f t="shared" si="127"/>
        <v>10155</v>
      </c>
      <c r="N947" s="283" t="s">
        <v>44</v>
      </c>
    </row>
    <row r="948" spans="1:14" ht="15.75" customHeight="1" x14ac:dyDescent="0.25">
      <c r="A948" s="183">
        <v>45972</v>
      </c>
      <c r="B948" s="184" t="s">
        <v>22</v>
      </c>
      <c r="C948" s="184">
        <v>29.69</v>
      </c>
      <c r="D948" s="184">
        <v>9.32</v>
      </c>
      <c r="E948" s="184">
        <f t="shared" si="105"/>
        <v>20.37</v>
      </c>
      <c r="F948" s="282" t="s">
        <v>38</v>
      </c>
      <c r="G948" s="282" t="s">
        <v>50</v>
      </c>
      <c r="H948" s="139">
        <v>500</v>
      </c>
      <c r="I948" s="139">
        <f t="shared" si="121"/>
        <v>10185</v>
      </c>
      <c r="J948" s="139">
        <v>0</v>
      </c>
      <c r="K948" s="139">
        <f t="shared" si="126"/>
        <v>10185</v>
      </c>
      <c r="L948" s="139">
        <v>0</v>
      </c>
      <c r="M948" s="139">
        <f t="shared" si="127"/>
        <v>10185</v>
      </c>
      <c r="N948" s="283" t="s">
        <v>44</v>
      </c>
    </row>
    <row r="949" spans="1:14" ht="15.75" customHeight="1" x14ac:dyDescent="0.25">
      <c r="A949" s="183">
        <v>45974</v>
      </c>
      <c r="B949" s="184" t="s">
        <v>51</v>
      </c>
      <c r="C949" s="184">
        <v>17.41</v>
      </c>
      <c r="D949" s="184">
        <v>9.1</v>
      </c>
      <c r="E949" s="184">
        <f t="shared" si="105"/>
        <v>8.31</v>
      </c>
      <c r="F949" s="293" t="s">
        <v>737</v>
      </c>
      <c r="G949" s="282" t="s">
        <v>738</v>
      </c>
      <c r="H949" s="139">
        <v>1313.838</v>
      </c>
      <c r="I949" s="139">
        <f t="shared" si="121"/>
        <v>10917.993780000001</v>
      </c>
      <c r="J949" s="139">
        <v>2000.01</v>
      </c>
      <c r="K949" s="139">
        <f t="shared" si="126"/>
        <v>12918.003780000001</v>
      </c>
      <c r="L949" s="139">
        <v>18</v>
      </c>
      <c r="M949" s="139">
        <f t="shared" si="127"/>
        <v>12900.003780000001</v>
      </c>
      <c r="N949" s="283" t="s">
        <v>20</v>
      </c>
    </row>
    <row r="950" spans="1:14" ht="15.75" customHeight="1" x14ac:dyDescent="0.25">
      <c r="A950" s="183">
        <v>45974</v>
      </c>
      <c r="B950" s="184" t="s">
        <v>49</v>
      </c>
      <c r="C950" s="184">
        <v>28.97</v>
      </c>
      <c r="D950" s="184">
        <v>9.44</v>
      </c>
      <c r="E950" s="184">
        <f t="shared" si="105"/>
        <v>19.53</v>
      </c>
      <c r="F950" s="282" t="s">
        <v>23</v>
      </c>
      <c r="G950" s="282" t="s">
        <v>739</v>
      </c>
      <c r="H950" s="139">
        <v>1400</v>
      </c>
      <c r="I950" s="139">
        <f t="shared" si="121"/>
        <v>27342</v>
      </c>
      <c r="J950" s="139">
        <v>1500</v>
      </c>
      <c r="K950" s="139">
        <f t="shared" si="126"/>
        <v>28842</v>
      </c>
      <c r="L950" s="139">
        <v>0</v>
      </c>
      <c r="M950" s="139">
        <f t="shared" si="127"/>
        <v>28842</v>
      </c>
      <c r="N950" s="283" t="s">
        <v>20</v>
      </c>
    </row>
    <row r="951" spans="1:14" ht="15.75" customHeight="1" x14ac:dyDescent="0.25">
      <c r="A951" s="183">
        <v>45977</v>
      </c>
      <c r="B951" s="184" t="s">
        <v>47</v>
      </c>
      <c r="C951" s="184">
        <v>30.26</v>
      </c>
      <c r="D951" s="184">
        <v>9.11</v>
      </c>
      <c r="E951" s="184">
        <f t="shared" si="105"/>
        <v>21.150000000000002</v>
      </c>
      <c r="F951" s="282" t="s">
        <v>23</v>
      </c>
      <c r="G951" s="282" t="s">
        <v>731</v>
      </c>
      <c r="H951" s="139">
        <v>1350</v>
      </c>
      <c r="I951" s="139">
        <f t="shared" si="121"/>
        <v>28552.500000000004</v>
      </c>
      <c r="J951" s="139">
        <v>0</v>
      </c>
      <c r="K951" s="139">
        <f t="shared" si="126"/>
        <v>28552.500000000004</v>
      </c>
      <c r="L951" s="139">
        <v>0</v>
      </c>
      <c r="M951" s="139">
        <f t="shared" si="127"/>
        <v>28552.500000000004</v>
      </c>
      <c r="N951" s="283" t="s">
        <v>44</v>
      </c>
    </row>
    <row r="952" spans="1:14" ht="15.75" customHeight="1" x14ac:dyDescent="0.25">
      <c r="A952" s="183">
        <v>45978</v>
      </c>
      <c r="B952" s="184" t="s">
        <v>47</v>
      </c>
      <c r="C952" s="184">
        <v>27.26</v>
      </c>
      <c r="D952" s="184">
        <v>9.32</v>
      </c>
      <c r="E952" s="184">
        <f t="shared" si="105"/>
        <v>17.940000000000001</v>
      </c>
      <c r="F952" s="294" t="s">
        <v>29</v>
      </c>
      <c r="G952" s="282" t="s">
        <v>731</v>
      </c>
      <c r="H952" s="139">
        <v>600</v>
      </c>
      <c r="I952" s="139">
        <f t="shared" si="121"/>
        <v>10764</v>
      </c>
      <c r="J952" s="139">
        <v>0</v>
      </c>
      <c r="K952" s="139">
        <f t="shared" si="126"/>
        <v>10764</v>
      </c>
      <c r="L952" s="139">
        <v>0</v>
      </c>
      <c r="M952" s="139">
        <f t="shared" si="127"/>
        <v>10764</v>
      </c>
      <c r="N952" s="283" t="s">
        <v>44</v>
      </c>
    </row>
    <row r="953" spans="1:14" ht="15.75" customHeight="1" x14ac:dyDescent="0.25">
      <c r="A953" s="183">
        <v>45978</v>
      </c>
      <c r="B953" s="184" t="s">
        <v>577</v>
      </c>
      <c r="C953" s="184">
        <v>28.79</v>
      </c>
      <c r="D953" s="184">
        <v>9.6999999999999993</v>
      </c>
      <c r="E953" s="184">
        <f t="shared" si="105"/>
        <v>19.09</v>
      </c>
      <c r="F953" s="294" t="s">
        <v>23</v>
      </c>
      <c r="G953" s="294" t="s">
        <v>725</v>
      </c>
      <c r="H953" s="139">
        <v>1300</v>
      </c>
      <c r="I953" s="139">
        <f t="shared" si="121"/>
        <v>24817</v>
      </c>
      <c r="J953" s="139">
        <v>0</v>
      </c>
      <c r="K953" s="139">
        <f t="shared" si="126"/>
        <v>24817</v>
      </c>
      <c r="L953" s="139">
        <v>0</v>
      </c>
      <c r="M953" s="139">
        <f t="shared" si="127"/>
        <v>24817</v>
      </c>
      <c r="N953" s="295" t="s">
        <v>25</v>
      </c>
    </row>
    <row r="954" spans="1:14" ht="15.75" customHeight="1" x14ac:dyDescent="0.25">
      <c r="A954" s="183">
        <v>45978</v>
      </c>
      <c r="B954" s="184" t="s">
        <v>88</v>
      </c>
      <c r="C954" s="184">
        <v>27.94</v>
      </c>
      <c r="D954" s="184">
        <v>9.66</v>
      </c>
      <c r="E954" s="184">
        <f t="shared" si="105"/>
        <v>18.28</v>
      </c>
      <c r="F954" s="294" t="s">
        <v>26</v>
      </c>
      <c r="G954" s="294" t="s">
        <v>57</v>
      </c>
      <c r="H954" s="139">
        <v>1365</v>
      </c>
      <c r="I954" s="139">
        <f t="shared" si="121"/>
        <v>24952.2</v>
      </c>
      <c r="J954" s="139">
        <v>0</v>
      </c>
      <c r="K954" s="139">
        <f t="shared" si="126"/>
        <v>24952.2</v>
      </c>
      <c r="L954" s="139">
        <v>0</v>
      </c>
      <c r="M954" s="139">
        <f t="shared" si="127"/>
        <v>24952.2</v>
      </c>
      <c r="N954" s="295" t="s">
        <v>44</v>
      </c>
    </row>
    <row r="955" spans="1:14" ht="15.75" customHeight="1" x14ac:dyDescent="0.25">
      <c r="A955" s="183">
        <v>45978</v>
      </c>
      <c r="B955" s="184" t="s">
        <v>51</v>
      </c>
      <c r="C955" s="184">
        <v>29.34</v>
      </c>
      <c r="D955" s="184">
        <v>9.4700000000000006</v>
      </c>
      <c r="E955" s="184">
        <f t="shared" si="105"/>
        <v>19.869999999999997</v>
      </c>
      <c r="F955" s="294" t="s">
        <v>26</v>
      </c>
      <c r="G955" s="294" t="s">
        <v>57</v>
      </c>
      <c r="H955" s="139">
        <v>1365</v>
      </c>
      <c r="I955" s="139">
        <f t="shared" si="121"/>
        <v>27122.549999999996</v>
      </c>
      <c r="J955" s="139">
        <v>0</v>
      </c>
      <c r="K955" s="139">
        <f t="shared" si="126"/>
        <v>27122.549999999996</v>
      </c>
      <c r="L955" s="139">
        <v>0</v>
      </c>
      <c r="M955" s="139">
        <f t="shared" si="127"/>
        <v>27122.549999999996</v>
      </c>
      <c r="N955" s="295" t="s">
        <v>44</v>
      </c>
    </row>
    <row r="956" spans="1:14" ht="15.75" customHeight="1" x14ac:dyDescent="0.25">
      <c r="A956" s="183">
        <v>45978</v>
      </c>
      <c r="B956" s="184" t="s">
        <v>717</v>
      </c>
      <c r="C956" s="184">
        <v>7.77</v>
      </c>
      <c r="D956" s="184">
        <v>2.73</v>
      </c>
      <c r="E956" s="184">
        <f t="shared" si="105"/>
        <v>5.0399999999999991</v>
      </c>
      <c r="F956" s="294" t="s">
        <v>23</v>
      </c>
      <c r="G956" s="294" t="s">
        <v>167</v>
      </c>
      <c r="H956" s="139">
        <v>1350</v>
      </c>
      <c r="I956" s="139">
        <f t="shared" si="121"/>
        <v>6803.9999999999991</v>
      </c>
      <c r="J956" s="139">
        <v>0</v>
      </c>
      <c r="K956" s="139">
        <f t="shared" si="126"/>
        <v>6803.9999999999991</v>
      </c>
      <c r="L956" s="139">
        <v>4</v>
      </c>
      <c r="M956" s="139">
        <f t="shared" si="127"/>
        <v>6799.9999999999991</v>
      </c>
      <c r="N956" s="295" t="s">
        <v>20</v>
      </c>
    </row>
    <row r="957" spans="1:14" ht="15.75" customHeight="1" x14ac:dyDescent="0.25">
      <c r="A957" s="183">
        <v>45978</v>
      </c>
      <c r="B957" s="184" t="s">
        <v>49</v>
      </c>
      <c r="C957" s="184">
        <v>28.47</v>
      </c>
      <c r="D957" s="184">
        <v>9.61</v>
      </c>
      <c r="E957" s="184">
        <f t="shared" si="105"/>
        <v>18.86</v>
      </c>
      <c r="F957" s="294" t="s">
        <v>23</v>
      </c>
      <c r="G957" s="294" t="s">
        <v>50</v>
      </c>
      <c r="H957" s="139">
        <v>1300</v>
      </c>
      <c r="I957" s="139">
        <f t="shared" si="121"/>
        <v>24518</v>
      </c>
      <c r="J957" s="139">
        <v>0</v>
      </c>
      <c r="K957" s="139">
        <f t="shared" ref="K957:K958" si="128">I957+J957</f>
        <v>24518</v>
      </c>
      <c r="L957" s="139">
        <v>0</v>
      </c>
      <c r="M957" s="139">
        <f t="shared" ref="M957:M958" si="129">K957-L957</f>
        <v>24518</v>
      </c>
      <c r="N957" s="295" t="s">
        <v>44</v>
      </c>
    </row>
    <row r="958" spans="1:14" ht="15.75" customHeight="1" x14ac:dyDescent="0.25">
      <c r="A958" s="183">
        <v>45978</v>
      </c>
      <c r="B958" s="184" t="s">
        <v>577</v>
      </c>
      <c r="C958" s="184">
        <v>29.21</v>
      </c>
      <c r="D958" s="184">
        <v>9.39</v>
      </c>
      <c r="E958" s="184">
        <f t="shared" si="105"/>
        <v>19.82</v>
      </c>
      <c r="F958" s="294" t="s">
        <v>23</v>
      </c>
      <c r="G958" s="294" t="s">
        <v>725</v>
      </c>
      <c r="H958" s="198">
        <v>1300</v>
      </c>
      <c r="I958" s="198">
        <f t="shared" si="121"/>
        <v>25766</v>
      </c>
      <c r="J958" s="198">
        <v>0</v>
      </c>
      <c r="K958" s="198">
        <f t="shared" si="128"/>
        <v>25766</v>
      </c>
      <c r="L958" s="198">
        <v>0</v>
      </c>
      <c r="M958" s="198">
        <f t="shared" si="129"/>
        <v>25766</v>
      </c>
      <c r="N958" s="284" t="s">
        <v>44</v>
      </c>
    </row>
    <row r="959" spans="1:14" ht="15.75" customHeight="1" x14ac:dyDescent="0.25">
      <c r="A959" s="183">
        <v>45978</v>
      </c>
      <c r="B959" s="184" t="s">
        <v>88</v>
      </c>
      <c r="C959" s="184">
        <v>28.6</v>
      </c>
      <c r="D959" s="184">
        <v>9.64</v>
      </c>
      <c r="E959" s="184">
        <f t="shared" si="105"/>
        <v>18.96</v>
      </c>
      <c r="F959" s="294" t="s">
        <v>23</v>
      </c>
      <c r="G959" s="294" t="s">
        <v>50</v>
      </c>
      <c r="H959" s="139">
        <v>1300</v>
      </c>
      <c r="I959" s="139">
        <f t="shared" ref="I959" si="130">H959*E959</f>
        <v>24648</v>
      </c>
      <c r="J959" s="139">
        <v>0</v>
      </c>
      <c r="K959" s="139">
        <f t="shared" ref="K959" si="131">I959+J959</f>
        <v>24648</v>
      </c>
      <c r="L959" s="139">
        <v>0</v>
      </c>
      <c r="M959" s="139">
        <f t="shared" ref="M959" si="132">K959-L959</f>
        <v>24648</v>
      </c>
      <c r="N959" s="295" t="s">
        <v>44</v>
      </c>
    </row>
    <row r="960" spans="1:14" ht="15.75" customHeight="1" x14ac:dyDescent="0.25">
      <c r="A960" s="183">
        <v>45978</v>
      </c>
      <c r="B960" s="184" t="s">
        <v>51</v>
      </c>
      <c r="C960" s="184">
        <v>29.03</v>
      </c>
      <c r="D960" s="184">
        <v>9.18</v>
      </c>
      <c r="E960" s="184">
        <f t="shared" si="105"/>
        <v>19.850000000000001</v>
      </c>
      <c r="F960" s="294" t="s">
        <v>23</v>
      </c>
      <c r="G960" s="294" t="s">
        <v>50</v>
      </c>
      <c r="H960" s="139">
        <v>1300</v>
      </c>
      <c r="I960" s="139">
        <f t="shared" ref="I960:I962" si="133">H960*E960</f>
        <v>25805.000000000004</v>
      </c>
      <c r="J960" s="139">
        <v>0</v>
      </c>
      <c r="K960" s="139">
        <f t="shared" ref="K960:K962" si="134">I960+J960</f>
        <v>25805.000000000004</v>
      </c>
      <c r="L960" s="139">
        <v>0</v>
      </c>
      <c r="M960" s="139">
        <f t="shared" ref="M960:M962" si="135">K960-L960</f>
        <v>25805.000000000004</v>
      </c>
      <c r="N960" s="295" t="s">
        <v>44</v>
      </c>
    </row>
    <row r="961" spans="1:14" ht="15.75" customHeight="1" x14ac:dyDescent="0.25">
      <c r="A961" s="183">
        <v>45978</v>
      </c>
      <c r="B961" s="184" t="s">
        <v>49</v>
      </c>
      <c r="C961" s="184">
        <v>29.76</v>
      </c>
      <c r="D961" s="184">
        <v>9.65</v>
      </c>
      <c r="E961" s="184">
        <f t="shared" si="105"/>
        <v>20.11</v>
      </c>
      <c r="F961" s="294" t="s">
        <v>18</v>
      </c>
      <c r="G961" s="294" t="s">
        <v>50</v>
      </c>
      <c r="H961" s="139">
        <v>1200</v>
      </c>
      <c r="I961" s="139">
        <f t="shared" si="133"/>
        <v>24132</v>
      </c>
      <c r="J961" s="139">
        <v>0</v>
      </c>
      <c r="K961" s="139">
        <f t="shared" si="134"/>
        <v>24132</v>
      </c>
      <c r="L961" s="139">
        <v>0</v>
      </c>
      <c r="M961" s="139">
        <f t="shared" si="135"/>
        <v>24132</v>
      </c>
      <c r="N961" s="283" t="s">
        <v>44</v>
      </c>
    </row>
    <row r="962" spans="1:14" ht="15.75" customHeight="1" x14ac:dyDescent="0.25">
      <c r="A962" s="183">
        <v>45978</v>
      </c>
      <c r="B962" s="184" t="s">
        <v>92</v>
      </c>
      <c r="C962" s="184">
        <v>7.14</v>
      </c>
      <c r="D962" s="184">
        <v>3.14</v>
      </c>
      <c r="E962" s="184">
        <f t="shared" si="105"/>
        <v>3.9999999999999996</v>
      </c>
      <c r="F962" s="294" t="s">
        <v>23</v>
      </c>
      <c r="G962" s="294" t="s">
        <v>584</v>
      </c>
      <c r="H962" s="139">
        <v>1350</v>
      </c>
      <c r="I962" s="139">
        <f t="shared" si="133"/>
        <v>5399.9999999999991</v>
      </c>
      <c r="J962" s="139">
        <v>0</v>
      </c>
      <c r="K962" s="139">
        <f t="shared" si="134"/>
        <v>5399.9999999999991</v>
      </c>
      <c r="L962" s="139">
        <v>0</v>
      </c>
      <c r="M962" s="139">
        <f t="shared" si="135"/>
        <v>5399.9999999999991</v>
      </c>
      <c r="N962" s="296" t="s">
        <v>20</v>
      </c>
    </row>
    <row r="963" spans="1:14" ht="15.75" customHeight="1" x14ac:dyDescent="0.25">
      <c r="A963" s="183">
        <v>45979</v>
      </c>
      <c r="B963" s="184" t="s">
        <v>67</v>
      </c>
      <c r="C963" s="184">
        <v>29.79</v>
      </c>
      <c r="D963" s="184">
        <v>9.64</v>
      </c>
      <c r="E963" s="184">
        <f t="shared" si="105"/>
        <v>20.149999999999999</v>
      </c>
      <c r="F963" s="294" t="s">
        <v>23</v>
      </c>
      <c r="G963" s="297" t="s">
        <v>50</v>
      </c>
      <c r="H963" s="139">
        <v>1300</v>
      </c>
      <c r="I963" s="139">
        <f t="shared" ref="I963:I965" si="136">H963*E963</f>
        <v>26194.999999999996</v>
      </c>
      <c r="J963" s="139">
        <v>0</v>
      </c>
      <c r="K963" s="139">
        <f t="shared" ref="K963:K965" si="137">I963+J963</f>
        <v>26194.999999999996</v>
      </c>
      <c r="L963" s="139">
        <v>0</v>
      </c>
      <c r="M963" s="139">
        <f t="shared" ref="M963:M965" si="138">K963-L963</f>
        <v>26194.999999999996</v>
      </c>
      <c r="N963" s="295" t="s">
        <v>44</v>
      </c>
    </row>
    <row r="964" spans="1:14" ht="15.75" customHeight="1" x14ac:dyDescent="0.25">
      <c r="A964" s="183">
        <v>45979</v>
      </c>
      <c r="B964" s="184" t="s">
        <v>577</v>
      </c>
      <c r="C964" s="184">
        <v>29.68</v>
      </c>
      <c r="D964" s="184">
        <v>9.75</v>
      </c>
      <c r="E964" s="184">
        <f t="shared" si="105"/>
        <v>19.93</v>
      </c>
      <c r="F964" s="294" t="s">
        <v>23</v>
      </c>
      <c r="G964" s="297" t="s">
        <v>50</v>
      </c>
      <c r="H964" s="139">
        <v>1300</v>
      </c>
      <c r="I964" s="139">
        <f t="shared" si="136"/>
        <v>25909</v>
      </c>
      <c r="J964" s="139">
        <v>0</v>
      </c>
      <c r="K964" s="139">
        <f t="shared" si="137"/>
        <v>25909</v>
      </c>
      <c r="L964" s="139">
        <v>0</v>
      </c>
      <c r="M964" s="139">
        <f t="shared" si="138"/>
        <v>25909</v>
      </c>
      <c r="N964" s="295" t="s">
        <v>44</v>
      </c>
    </row>
    <row r="965" spans="1:14" ht="15.75" customHeight="1" x14ac:dyDescent="0.25">
      <c r="A965" s="183">
        <v>45979</v>
      </c>
      <c r="B965" s="184" t="s">
        <v>49</v>
      </c>
      <c r="C965" s="184">
        <v>30.7</v>
      </c>
      <c r="D965" s="184">
        <v>9.66</v>
      </c>
      <c r="E965" s="184">
        <f t="shared" si="105"/>
        <v>21.04</v>
      </c>
      <c r="F965" s="294" t="s">
        <v>23</v>
      </c>
      <c r="G965" s="297" t="s">
        <v>50</v>
      </c>
      <c r="H965" s="139">
        <v>1300</v>
      </c>
      <c r="I965" s="139">
        <f t="shared" si="136"/>
        <v>27352</v>
      </c>
      <c r="J965" s="139">
        <v>0</v>
      </c>
      <c r="K965" s="139">
        <f t="shared" si="137"/>
        <v>27352</v>
      </c>
      <c r="L965" s="139">
        <v>0</v>
      </c>
      <c r="M965" s="139">
        <f t="shared" si="138"/>
        <v>27352</v>
      </c>
      <c r="N965" s="295" t="s">
        <v>44</v>
      </c>
    </row>
    <row r="966" spans="1:14" ht="15.75" customHeight="1" x14ac:dyDescent="0.25">
      <c r="A966" s="183">
        <v>45979</v>
      </c>
      <c r="B966" s="184" t="s">
        <v>51</v>
      </c>
      <c r="C966" s="184">
        <v>28.11</v>
      </c>
      <c r="D966" s="184">
        <v>9.52</v>
      </c>
      <c r="E966" s="184">
        <f t="shared" si="105"/>
        <v>18.59</v>
      </c>
      <c r="F966" s="297" t="s">
        <v>18</v>
      </c>
      <c r="G966" s="297" t="s">
        <v>50</v>
      </c>
      <c r="H966" s="139">
        <v>1200</v>
      </c>
      <c r="I966" s="139">
        <f t="shared" ref="I966:I971" si="139">H966*E966</f>
        <v>22308</v>
      </c>
      <c r="J966" s="139">
        <v>0</v>
      </c>
      <c r="K966" s="139">
        <f t="shared" ref="K966:K971" si="140">I966+J966</f>
        <v>22308</v>
      </c>
      <c r="L966" s="139">
        <v>0</v>
      </c>
      <c r="M966" s="139">
        <f t="shared" ref="M966:M971" si="141">K966-L966</f>
        <v>22308</v>
      </c>
      <c r="N966" s="283" t="s">
        <v>44</v>
      </c>
    </row>
    <row r="967" spans="1:14" ht="15.75" customHeight="1" x14ac:dyDescent="0.25">
      <c r="A967" s="183">
        <v>45979</v>
      </c>
      <c r="B967" s="184" t="s">
        <v>22</v>
      </c>
      <c r="C967" s="184">
        <v>28.92</v>
      </c>
      <c r="D967" s="184">
        <v>9.2100000000000009</v>
      </c>
      <c r="E967" s="184">
        <f t="shared" si="105"/>
        <v>19.71</v>
      </c>
      <c r="F967" s="297" t="s">
        <v>18</v>
      </c>
      <c r="G967" s="297" t="s">
        <v>50</v>
      </c>
      <c r="H967" s="139">
        <v>1200</v>
      </c>
      <c r="I967" s="139">
        <f t="shared" si="139"/>
        <v>23652</v>
      </c>
      <c r="J967" s="139">
        <v>0</v>
      </c>
      <c r="K967" s="139">
        <f t="shared" si="140"/>
        <v>23652</v>
      </c>
      <c r="L967" s="139">
        <v>0</v>
      </c>
      <c r="M967" s="139">
        <f t="shared" si="141"/>
        <v>23652</v>
      </c>
      <c r="N967" s="283" t="s">
        <v>44</v>
      </c>
    </row>
    <row r="968" spans="1:14" ht="15.75" customHeight="1" x14ac:dyDescent="0.25">
      <c r="A968" s="183">
        <v>45979</v>
      </c>
      <c r="B968" s="184" t="s">
        <v>88</v>
      </c>
      <c r="C968" s="184">
        <v>28.06</v>
      </c>
      <c r="D968" s="184">
        <v>9.65</v>
      </c>
      <c r="E968" s="184">
        <f t="shared" si="105"/>
        <v>18.409999999999997</v>
      </c>
      <c r="F968" s="297" t="s">
        <v>18</v>
      </c>
      <c r="G968" s="297" t="s">
        <v>50</v>
      </c>
      <c r="H968" s="139">
        <v>1200</v>
      </c>
      <c r="I968" s="139">
        <f t="shared" si="139"/>
        <v>22091.999999999996</v>
      </c>
      <c r="J968" s="139">
        <v>0</v>
      </c>
      <c r="K968" s="139">
        <f t="shared" si="140"/>
        <v>22091.999999999996</v>
      </c>
      <c r="L968" s="139">
        <v>0</v>
      </c>
      <c r="M968" s="139">
        <f t="shared" si="141"/>
        <v>22091.999999999996</v>
      </c>
      <c r="N968" s="283" t="s">
        <v>44</v>
      </c>
    </row>
    <row r="969" spans="1:14" ht="15.75" customHeight="1" x14ac:dyDescent="0.25">
      <c r="A969" s="183">
        <v>45979</v>
      </c>
      <c r="B969" s="184" t="s">
        <v>577</v>
      </c>
      <c r="C969" s="184">
        <v>28.37</v>
      </c>
      <c r="D969" s="184">
        <v>9.75</v>
      </c>
      <c r="E969" s="184">
        <f t="shared" si="105"/>
        <v>18.62</v>
      </c>
      <c r="F969" s="297" t="s">
        <v>23</v>
      </c>
      <c r="G969" s="297" t="s">
        <v>50</v>
      </c>
      <c r="H969" s="139">
        <v>1300</v>
      </c>
      <c r="I969" s="139">
        <f t="shared" si="139"/>
        <v>24206</v>
      </c>
      <c r="J969" s="139">
        <v>0</v>
      </c>
      <c r="K969" s="139">
        <f t="shared" si="140"/>
        <v>24206</v>
      </c>
      <c r="L969" s="139">
        <v>0</v>
      </c>
      <c r="M969" s="139">
        <f t="shared" si="141"/>
        <v>24206</v>
      </c>
      <c r="N969" s="295" t="s">
        <v>44</v>
      </c>
    </row>
    <row r="970" spans="1:14" ht="15.75" customHeight="1" x14ac:dyDescent="0.25">
      <c r="A970" s="183">
        <v>45979</v>
      </c>
      <c r="B970" s="184" t="s">
        <v>67</v>
      </c>
      <c r="C970" s="184">
        <v>27.97</v>
      </c>
      <c r="D970" s="184">
        <v>9.36</v>
      </c>
      <c r="E970" s="184">
        <f t="shared" si="105"/>
        <v>18.61</v>
      </c>
      <c r="F970" s="297" t="s">
        <v>23</v>
      </c>
      <c r="G970" s="297" t="s">
        <v>50</v>
      </c>
      <c r="H970" s="139">
        <v>1300</v>
      </c>
      <c r="I970" s="139">
        <f t="shared" si="139"/>
        <v>24193</v>
      </c>
      <c r="J970" s="139">
        <v>0</v>
      </c>
      <c r="K970" s="139">
        <f t="shared" si="140"/>
        <v>24193</v>
      </c>
      <c r="L970" s="139">
        <v>0</v>
      </c>
      <c r="M970" s="139">
        <f t="shared" si="141"/>
        <v>24193</v>
      </c>
      <c r="N970" s="295" t="s">
        <v>44</v>
      </c>
    </row>
    <row r="971" spans="1:14" ht="15.75" customHeight="1" x14ac:dyDescent="0.25">
      <c r="A971" s="183">
        <v>45979</v>
      </c>
      <c r="B971" s="184" t="s">
        <v>49</v>
      </c>
      <c r="C971" s="184">
        <v>28.04</v>
      </c>
      <c r="D971" s="184">
        <v>9.74</v>
      </c>
      <c r="E971" s="184">
        <f t="shared" si="105"/>
        <v>18.299999999999997</v>
      </c>
      <c r="F971" s="297" t="s">
        <v>23</v>
      </c>
      <c r="G971" s="297" t="s">
        <v>50</v>
      </c>
      <c r="H971" s="139">
        <v>1300</v>
      </c>
      <c r="I971" s="139">
        <f t="shared" si="139"/>
        <v>23789.999999999996</v>
      </c>
      <c r="J971" s="139">
        <v>0</v>
      </c>
      <c r="K971" s="139">
        <f t="shared" si="140"/>
        <v>23789.999999999996</v>
      </c>
      <c r="L971" s="139">
        <v>0</v>
      </c>
      <c r="M971" s="139">
        <f t="shared" si="141"/>
        <v>23789.999999999996</v>
      </c>
      <c r="N971" s="295" t="s">
        <v>44</v>
      </c>
    </row>
    <row r="972" spans="1:14" ht="15.75" customHeight="1" x14ac:dyDescent="0.25">
      <c r="A972" s="183">
        <v>45979</v>
      </c>
      <c r="B972" s="184" t="s">
        <v>88</v>
      </c>
      <c r="C972" s="184">
        <v>28.18</v>
      </c>
      <c r="D972" s="184">
        <v>9.49</v>
      </c>
      <c r="E972" s="184">
        <f t="shared" si="105"/>
        <v>18.689999999999998</v>
      </c>
      <c r="F972" s="297" t="s">
        <v>18</v>
      </c>
      <c r="G972" s="297" t="s">
        <v>50</v>
      </c>
      <c r="H972" s="139">
        <v>1200</v>
      </c>
      <c r="I972" s="139">
        <f t="shared" ref="I972:I983" si="142">H972*E972</f>
        <v>22427.999999999996</v>
      </c>
      <c r="J972" s="139">
        <v>0</v>
      </c>
      <c r="K972" s="139">
        <f t="shared" ref="K972:K983" si="143">I972+J972</f>
        <v>22427.999999999996</v>
      </c>
      <c r="L972" s="139">
        <v>0</v>
      </c>
      <c r="M972" s="139">
        <f t="shared" ref="M972:M983" si="144">K972-L972</f>
        <v>22427.999999999996</v>
      </c>
      <c r="N972" s="283" t="s">
        <v>44</v>
      </c>
    </row>
    <row r="973" spans="1:14" ht="15.75" customHeight="1" x14ac:dyDescent="0.25">
      <c r="A973" s="183">
        <v>45979</v>
      </c>
      <c r="B973" s="184" t="s">
        <v>51</v>
      </c>
      <c r="C973" s="184">
        <v>28.31</v>
      </c>
      <c r="D973" s="184">
        <v>8.7899999999999991</v>
      </c>
      <c r="E973" s="184">
        <f t="shared" si="105"/>
        <v>19.52</v>
      </c>
      <c r="F973" s="297" t="s">
        <v>23</v>
      </c>
      <c r="G973" s="297" t="s">
        <v>50</v>
      </c>
      <c r="H973" s="139">
        <v>1300</v>
      </c>
      <c r="I973" s="139">
        <f t="shared" si="142"/>
        <v>25376</v>
      </c>
      <c r="J973" s="139">
        <v>0</v>
      </c>
      <c r="K973" s="139">
        <f t="shared" si="143"/>
        <v>25376</v>
      </c>
      <c r="L973" s="139">
        <v>0</v>
      </c>
      <c r="M973" s="139">
        <f t="shared" si="144"/>
        <v>25376</v>
      </c>
      <c r="N973" s="295" t="s">
        <v>44</v>
      </c>
    </row>
    <row r="974" spans="1:14" ht="15.75" customHeight="1" x14ac:dyDescent="0.25">
      <c r="A974" s="183">
        <v>45979</v>
      </c>
      <c r="B974" s="184" t="s">
        <v>740</v>
      </c>
      <c r="C974" s="184">
        <v>13.67</v>
      </c>
      <c r="D974" s="184">
        <v>6.31</v>
      </c>
      <c r="E974" s="184">
        <f t="shared" si="105"/>
        <v>7.36</v>
      </c>
      <c r="F974" s="297" t="s">
        <v>23</v>
      </c>
      <c r="G974" s="297" t="s">
        <v>741</v>
      </c>
      <c r="H974" s="139">
        <v>1350</v>
      </c>
      <c r="I974" s="139">
        <f t="shared" si="142"/>
        <v>9936</v>
      </c>
      <c r="J974" s="139">
        <v>0</v>
      </c>
      <c r="K974" s="139">
        <f t="shared" si="143"/>
        <v>9936</v>
      </c>
      <c r="L974" s="139">
        <v>0</v>
      </c>
      <c r="M974" s="139">
        <f t="shared" si="144"/>
        <v>9936</v>
      </c>
      <c r="N974" s="296" t="s">
        <v>44</v>
      </c>
    </row>
    <row r="975" spans="1:14" ht="15.75" customHeight="1" x14ac:dyDescent="0.25">
      <c r="A975" s="183">
        <v>45980</v>
      </c>
      <c r="B975" s="184" t="s">
        <v>92</v>
      </c>
      <c r="C975" s="184">
        <v>6.47</v>
      </c>
      <c r="D975" s="184">
        <v>3.19</v>
      </c>
      <c r="E975" s="184">
        <f t="shared" si="105"/>
        <v>3.28</v>
      </c>
      <c r="F975" s="297" t="s">
        <v>23</v>
      </c>
      <c r="G975" s="297" t="s">
        <v>742</v>
      </c>
      <c r="H975" s="139">
        <v>1350</v>
      </c>
      <c r="I975" s="139">
        <f t="shared" si="142"/>
        <v>4428</v>
      </c>
      <c r="J975" s="139">
        <v>0</v>
      </c>
      <c r="K975" s="139">
        <f t="shared" si="143"/>
        <v>4428</v>
      </c>
      <c r="L975" s="139">
        <v>28</v>
      </c>
      <c r="M975" s="139">
        <f t="shared" si="144"/>
        <v>4400</v>
      </c>
      <c r="N975" s="296" t="s">
        <v>20</v>
      </c>
    </row>
    <row r="976" spans="1:14" ht="15.75" customHeight="1" x14ac:dyDescent="0.25">
      <c r="A976" s="183">
        <v>45981</v>
      </c>
      <c r="B976" s="184" t="s">
        <v>577</v>
      </c>
      <c r="C976" s="184">
        <v>24.86</v>
      </c>
      <c r="D976" s="184">
        <v>9.4</v>
      </c>
      <c r="E976" s="184">
        <f t="shared" si="105"/>
        <v>15.459999999999999</v>
      </c>
      <c r="F976" s="297" t="s">
        <v>23</v>
      </c>
      <c r="G976" s="297" t="s">
        <v>743</v>
      </c>
      <c r="H976" s="139">
        <v>1400</v>
      </c>
      <c r="I976" s="139">
        <f t="shared" si="142"/>
        <v>21644</v>
      </c>
      <c r="J976" s="139">
        <v>2500</v>
      </c>
      <c r="K976" s="139">
        <f t="shared" si="143"/>
        <v>24144</v>
      </c>
      <c r="L976" s="139">
        <v>0</v>
      </c>
      <c r="M976" s="139">
        <f t="shared" si="144"/>
        <v>24144</v>
      </c>
      <c r="N976" s="296" t="s">
        <v>44</v>
      </c>
    </row>
    <row r="977" spans="1:14" ht="15.75" customHeight="1" x14ac:dyDescent="0.25">
      <c r="A977" s="183">
        <v>45982</v>
      </c>
      <c r="B977" s="184" t="s">
        <v>47</v>
      </c>
      <c r="C977" s="184">
        <v>27.67</v>
      </c>
      <c r="D977" s="184">
        <v>9.41</v>
      </c>
      <c r="E977" s="184">
        <f t="shared" si="105"/>
        <v>18.260000000000002</v>
      </c>
      <c r="F977" s="297" t="s">
        <v>23</v>
      </c>
      <c r="G977" s="297" t="s">
        <v>731</v>
      </c>
      <c r="H977" s="139">
        <v>1350</v>
      </c>
      <c r="I977" s="139">
        <f t="shared" si="142"/>
        <v>24651.000000000004</v>
      </c>
      <c r="J977" s="139">
        <v>0</v>
      </c>
      <c r="K977" s="139">
        <f t="shared" si="143"/>
        <v>24651.000000000004</v>
      </c>
      <c r="L977" s="139">
        <v>0</v>
      </c>
      <c r="M977" s="139">
        <f t="shared" si="144"/>
        <v>24651.000000000004</v>
      </c>
      <c r="N977" s="296" t="s">
        <v>44</v>
      </c>
    </row>
    <row r="978" spans="1:14" ht="15.75" customHeight="1" x14ac:dyDescent="0.25">
      <c r="A978" s="183">
        <v>45982</v>
      </c>
      <c r="B978" s="184" t="s">
        <v>40</v>
      </c>
      <c r="C978" s="184">
        <v>6.91</v>
      </c>
      <c r="D978" s="184">
        <v>3</v>
      </c>
      <c r="E978" s="184">
        <f t="shared" si="105"/>
        <v>3.91</v>
      </c>
      <c r="F978" s="297" t="s">
        <v>23</v>
      </c>
      <c r="G978" s="297" t="s">
        <v>593</v>
      </c>
      <c r="H978" s="139">
        <v>1400</v>
      </c>
      <c r="I978" s="139">
        <f t="shared" si="142"/>
        <v>5474</v>
      </c>
      <c r="J978" s="139">
        <v>0</v>
      </c>
      <c r="K978" s="139">
        <f t="shared" si="143"/>
        <v>5474</v>
      </c>
      <c r="L978" s="139">
        <v>74</v>
      </c>
      <c r="M978" s="139">
        <f t="shared" si="144"/>
        <v>5400</v>
      </c>
      <c r="N978" s="296" t="s">
        <v>20</v>
      </c>
    </row>
    <row r="979" spans="1:14" ht="15.75" customHeight="1" x14ac:dyDescent="0.25">
      <c r="A979" s="183">
        <v>45983</v>
      </c>
      <c r="B979" s="184" t="s">
        <v>577</v>
      </c>
      <c r="C979" s="184">
        <v>30.14</v>
      </c>
      <c r="D979" s="184">
        <v>9.27</v>
      </c>
      <c r="E979" s="184">
        <f t="shared" si="105"/>
        <v>20.87</v>
      </c>
      <c r="F979" s="297" t="s">
        <v>35</v>
      </c>
      <c r="G979" s="297" t="s">
        <v>744</v>
      </c>
      <c r="H979" s="139">
        <v>1200</v>
      </c>
      <c r="I979" s="139">
        <f t="shared" si="142"/>
        <v>25044</v>
      </c>
      <c r="J979" s="139">
        <v>1000</v>
      </c>
      <c r="K979" s="139">
        <f t="shared" si="143"/>
        <v>26044</v>
      </c>
      <c r="L979" s="139">
        <v>44</v>
      </c>
      <c r="M979" s="139">
        <f t="shared" si="144"/>
        <v>26000</v>
      </c>
      <c r="N979" s="296" t="s">
        <v>20</v>
      </c>
    </row>
    <row r="980" spans="1:14" ht="15.75" customHeight="1" x14ac:dyDescent="0.25">
      <c r="A980" s="183">
        <v>45983</v>
      </c>
      <c r="B980" s="184" t="s">
        <v>67</v>
      </c>
      <c r="C980" s="184">
        <v>29.25</v>
      </c>
      <c r="D980" s="184">
        <v>9.2200000000000006</v>
      </c>
      <c r="E980" s="184">
        <f t="shared" si="105"/>
        <v>20.03</v>
      </c>
      <c r="F980" s="297" t="s">
        <v>23</v>
      </c>
      <c r="G980" s="297" t="s">
        <v>744</v>
      </c>
      <c r="H980" s="139">
        <v>1400</v>
      </c>
      <c r="I980" s="139">
        <f t="shared" si="142"/>
        <v>28042</v>
      </c>
      <c r="J980" s="139">
        <v>1000</v>
      </c>
      <c r="K980" s="139">
        <f t="shared" si="143"/>
        <v>29042</v>
      </c>
      <c r="L980" s="139">
        <v>42</v>
      </c>
      <c r="M980" s="139">
        <f t="shared" si="144"/>
        <v>29000</v>
      </c>
      <c r="N980" s="296" t="s">
        <v>20</v>
      </c>
    </row>
    <row r="981" spans="1:14" ht="15.75" customHeight="1" x14ac:dyDescent="0.25">
      <c r="A981" s="183">
        <v>45983</v>
      </c>
      <c r="B981" s="184" t="s">
        <v>51</v>
      </c>
      <c r="C981" s="184">
        <v>19.79</v>
      </c>
      <c r="D981" s="184">
        <v>9.4</v>
      </c>
      <c r="E981" s="184">
        <f t="shared" si="105"/>
        <v>10.389999999999999</v>
      </c>
      <c r="F981" s="297" t="s">
        <v>23</v>
      </c>
      <c r="G981" s="297" t="s">
        <v>745</v>
      </c>
      <c r="H981" s="139">
        <v>1400</v>
      </c>
      <c r="I981" s="139">
        <f t="shared" si="142"/>
        <v>14545.999999999998</v>
      </c>
      <c r="J981" s="139">
        <v>2000</v>
      </c>
      <c r="K981" s="139">
        <f t="shared" si="143"/>
        <v>16546</v>
      </c>
      <c r="L981" s="139">
        <v>0</v>
      </c>
      <c r="M981" s="139">
        <f t="shared" si="144"/>
        <v>16546</v>
      </c>
      <c r="N981" s="296" t="s">
        <v>44</v>
      </c>
    </row>
    <row r="982" spans="1:14" ht="15.75" customHeight="1" x14ac:dyDescent="0.25">
      <c r="A982" s="183">
        <v>45983</v>
      </c>
      <c r="B982" s="184" t="s">
        <v>22</v>
      </c>
      <c r="C982" s="184">
        <v>22.26</v>
      </c>
      <c r="D982" s="184">
        <v>9.6199999999999992</v>
      </c>
      <c r="E982" s="184">
        <f t="shared" si="105"/>
        <v>12.640000000000002</v>
      </c>
      <c r="F982" s="297" t="s">
        <v>38</v>
      </c>
      <c r="G982" s="297" t="s">
        <v>745</v>
      </c>
      <c r="H982" s="139">
        <v>500</v>
      </c>
      <c r="I982" s="139">
        <f t="shared" si="142"/>
        <v>6320.0000000000009</v>
      </c>
      <c r="J982" s="139">
        <v>2000</v>
      </c>
      <c r="K982" s="139">
        <f t="shared" si="143"/>
        <v>8320</v>
      </c>
      <c r="L982" s="139">
        <v>0</v>
      </c>
      <c r="M982" s="139">
        <f t="shared" si="144"/>
        <v>8320</v>
      </c>
      <c r="N982" s="296" t="s">
        <v>44</v>
      </c>
    </row>
    <row r="983" spans="1:14" ht="15.75" customHeight="1" x14ac:dyDescent="0.25">
      <c r="A983" s="183">
        <v>45984</v>
      </c>
      <c r="B983" s="184" t="s">
        <v>67</v>
      </c>
      <c r="C983" s="184">
        <v>19.600000000000001</v>
      </c>
      <c r="D983" s="184">
        <v>9.24</v>
      </c>
      <c r="E983" s="184">
        <f t="shared" si="105"/>
        <v>10.360000000000001</v>
      </c>
      <c r="F983" s="297" t="s">
        <v>23</v>
      </c>
      <c r="G983" s="297" t="s">
        <v>32</v>
      </c>
      <c r="H983" s="139">
        <v>1400</v>
      </c>
      <c r="I983" s="139">
        <f t="shared" si="142"/>
        <v>14504.000000000002</v>
      </c>
      <c r="J983" s="139">
        <v>2000</v>
      </c>
      <c r="K983" s="139">
        <f t="shared" si="143"/>
        <v>16504</v>
      </c>
      <c r="L983" s="139">
        <v>4</v>
      </c>
      <c r="M983" s="139">
        <f t="shared" si="144"/>
        <v>16500</v>
      </c>
      <c r="N983" s="296" t="s">
        <v>25</v>
      </c>
    </row>
    <row r="984" spans="1:14" ht="15.75" customHeight="1" x14ac:dyDescent="0.25">
      <c r="A984" s="183">
        <v>45984</v>
      </c>
      <c r="B984" s="184" t="s">
        <v>22</v>
      </c>
      <c r="C984" s="184">
        <v>28.29</v>
      </c>
      <c r="D984" s="184">
        <v>9.56</v>
      </c>
      <c r="E984" s="184">
        <f t="shared" si="105"/>
        <v>18.729999999999997</v>
      </c>
      <c r="F984" s="297" t="s">
        <v>35</v>
      </c>
      <c r="G984" s="297" t="s">
        <v>736</v>
      </c>
      <c r="H984" s="139">
        <v>1125</v>
      </c>
      <c r="I984" s="139">
        <f t="shared" ref="I984" si="145">H984*E984</f>
        <v>21071.249999999996</v>
      </c>
      <c r="J984" s="139">
        <v>2000</v>
      </c>
      <c r="K984" s="139">
        <f t="shared" ref="K984" si="146">I984+J984</f>
        <v>23071.249999999996</v>
      </c>
      <c r="L984" s="139">
        <v>0</v>
      </c>
      <c r="M984" s="139">
        <f t="shared" ref="M984" si="147">K984-L984</f>
        <v>23071.249999999996</v>
      </c>
      <c r="N984" s="296" t="s">
        <v>44</v>
      </c>
    </row>
    <row r="985" spans="1:14" ht="15.75" customHeight="1" x14ac:dyDescent="0.25">
      <c r="A985" s="183">
        <v>45984</v>
      </c>
      <c r="B985" s="184" t="s">
        <v>577</v>
      </c>
      <c r="C985" s="184">
        <v>27.86</v>
      </c>
      <c r="D985" s="184">
        <v>9.81</v>
      </c>
      <c r="E985" s="184">
        <f t="shared" si="105"/>
        <v>18.049999999999997</v>
      </c>
      <c r="F985" s="297" t="s">
        <v>35</v>
      </c>
      <c r="G985" s="297" t="s">
        <v>736</v>
      </c>
      <c r="H985" s="139">
        <v>1125</v>
      </c>
      <c r="I985" s="139">
        <f t="shared" ref="I985:I991" si="148">H985*E985</f>
        <v>20306.249999999996</v>
      </c>
      <c r="J985" s="139">
        <v>2000</v>
      </c>
      <c r="K985" s="139">
        <f t="shared" ref="K985:K991" si="149">I985+J985</f>
        <v>22306.249999999996</v>
      </c>
      <c r="L985" s="139">
        <v>0</v>
      </c>
      <c r="M985" s="139">
        <f t="shared" ref="M985:M991" si="150">K985-L985</f>
        <v>22306.249999999996</v>
      </c>
      <c r="N985" s="296" t="s">
        <v>44</v>
      </c>
    </row>
    <row r="986" spans="1:14" ht="15.75" customHeight="1" x14ac:dyDescent="0.25">
      <c r="A986" s="183">
        <v>45984</v>
      </c>
      <c r="B986" s="184" t="s">
        <v>67</v>
      </c>
      <c r="C986" s="184">
        <v>30.19</v>
      </c>
      <c r="D986" s="184">
        <v>9.32</v>
      </c>
      <c r="E986" s="184">
        <f t="shared" si="105"/>
        <v>20.87</v>
      </c>
      <c r="F986" s="297" t="s">
        <v>23</v>
      </c>
      <c r="G986" s="297" t="s">
        <v>736</v>
      </c>
      <c r="H986" s="139">
        <v>1325</v>
      </c>
      <c r="I986" s="139">
        <f t="shared" si="148"/>
        <v>27652.75</v>
      </c>
      <c r="J986" s="139">
        <v>2000</v>
      </c>
      <c r="K986" s="139">
        <f t="shared" si="149"/>
        <v>29652.75</v>
      </c>
      <c r="L986" s="139">
        <v>0</v>
      </c>
      <c r="M986" s="139">
        <f t="shared" si="150"/>
        <v>29652.75</v>
      </c>
      <c r="N986" s="296" t="s">
        <v>44</v>
      </c>
    </row>
    <row r="987" spans="1:14" ht="15.75" customHeight="1" x14ac:dyDescent="0.25">
      <c r="A987" s="183">
        <v>45985</v>
      </c>
      <c r="B987" s="184" t="s">
        <v>67</v>
      </c>
      <c r="C987" s="184">
        <v>29.23</v>
      </c>
      <c r="D987" s="184">
        <v>9.66</v>
      </c>
      <c r="E987" s="184">
        <f t="shared" si="105"/>
        <v>19.57</v>
      </c>
      <c r="F987" s="297" t="s">
        <v>23</v>
      </c>
      <c r="G987" s="297" t="s">
        <v>725</v>
      </c>
      <c r="H987" s="139">
        <v>1300</v>
      </c>
      <c r="I987" s="139">
        <f t="shared" si="148"/>
        <v>25441</v>
      </c>
      <c r="J987" s="139">
        <v>0</v>
      </c>
      <c r="K987" s="139">
        <f t="shared" si="149"/>
        <v>25441</v>
      </c>
      <c r="L987" s="139">
        <v>0</v>
      </c>
      <c r="M987" s="139">
        <f t="shared" si="150"/>
        <v>25441</v>
      </c>
      <c r="N987" s="295" t="s">
        <v>25</v>
      </c>
    </row>
    <row r="988" spans="1:14" ht="15.75" customHeight="1" x14ac:dyDescent="0.25">
      <c r="A988" s="183">
        <v>45985</v>
      </c>
      <c r="B988" s="184" t="s">
        <v>30</v>
      </c>
      <c r="C988" s="184">
        <v>29.71</v>
      </c>
      <c r="D988" s="184">
        <v>9.9</v>
      </c>
      <c r="E988" s="184">
        <f t="shared" si="105"/>
        <v>19.810000000000002</v>
      </c>
      <c r="F988" s="297" t="s">
        <v>23</v>
      </c>
      <c r="G988" s="297" t="s">
        <v>725</v>
      </c>
      <c r="H988" s="139">
        <v>1300</v>
      </c>
      <c r="I988" s="139">
        <f t="shared" si="148"/>
        <v>25753.000000000004</v>
      </c>
      <c r="J988" s="139">
        <v>0</v>
      </c>
      <c r="K988" s="139">
        <f t="shared" si="149"/>
        <v>25753.000000000004</v>
      </c>
      <c r="L988" s="139">
        <v>0</v>
      </c>
      <c r="M988" s="139">
        <f t="shared" si="150"/>
        <v>25753.000000000004</v>
      </c>
      <c r="N988" s="295" t="s">
        <v>25</v>
      </c>
    </row>
    <row r="989" spans="1:14" ht="15.75" customHeight="1" x14ac:dyDescent="0.25">
      <c r="A989" s="183">
        <v>45986</v>
      </c>
      <c r="B989" s="184" t="s">
        <v>67</v>
      </c>
      <c r="C989" s="184">
        <v>29.79</v>
      </c>
      <c r="D989" s="184">
        <v>9.6199999999999992</v>
      </c>
      <c r="E989" s="184">
        <f t="shared" si="105"/>
        <v>20.170000000000002</v>
      </c>
      <c r="F989" s="297" t="s">
        <v>23</v>
      </c>
      <c r="G989" s="297" t="s">
        <v>746</v>
      </c>
      <c r="H989" s="139">
        <v>1600</v>
      </c>
      <c r="I989" s="139">
        <f t="shared" si="148"/>
        <v>32272.000000000004</v>
      </c>
      <c r="J989" s="139">
        <v>0</v>
      </c>
      <c r="K989" s="139">
        <f t="shared" si="149"/>
        <v>32272.000000000004</v>
      </c>
      <c r="L989" s="139">
        <v>0</v>
      </c>
      <c r="M989" s="139">
        <f t="shared" si="150"/>
        <v>32272.000000000004</v>
      </c>
      <c r="N989" s="296" t="s">
        <v>44</v>
      </c>
    </row>
    <row r="990" spans="1:14" ht="15.75" customHeight="1" x14ac:dyDescent="0.25">
      <c r="A990" s="183">
        <v>45986</v>
      </c>
      <c r="B990" s="184" t="s">
        <v>30</v>
      </c>
      <c r="C990" s="184">
        <v>29.28</v>
      </c>
      <c r="D990" s="184">
        <v>9.4</v>
      </c>
      <c r="E990" s="184">
        <f t="shared" si="105"/>
        <v>19.880000000000003</v>
      </c>
      <c r="F990" s="297" t="s">
        <v>23</v>
      </c>
      <c r="G990" s="297" t="s">
        <v>747</v>
      </c>
      <c r="H990" s="139">
        <v>1350</v>
      </c>
      <c r="I990" s="139">
        <f t="shared" si="148"/>
        <v>26838.000000000004</v>
      </c>
      <c r="J990" s="139">
        <v>0</v>
      </c>
      <c r="K990" s="139">
        <f t="shared" si="149"/>
        <v>26838.000000000004</v>
      </c>
      <c r="L990" s="139">
        <v>0</v>
      </c>
      <c r="M990" s="139">
        <f t="shared" si="150"/>
        <v>26838.000000000004</v>
      </c>
      <c r="N990" s="296" t="s">
        <v>44</v>
      </c>
    </row>
    <row r="991" spans="1:14" ht="15.75" customHeight="1" x14ac:dyDescent="0.25">
      <c r="A991" s="183">
        <v>45987</v>
      </c>
      <c r="B991" s="184" t="s">
        <v>30</v>
      </c>
      <c r="C991" s="184">
        <v>28.47</v>
      </c>
      <c r="D991" s="184">
        <v>9.33</v>
      </c>
      <c r="E991" s="184">
        <f t="shared" si="105"/>
        <v>19.14</v>
      </c>
      <c r="F991" s="297" t="s">
        <v>26</v>
      </c>
      <c r="G991" s="297" t="s">
        <v>48</v>
      </c>
      <c r="H991" s="139">
        <v>1225</v>
      </c>
      <c r="I991" s="139">
        <f t="shared" si="148"/>
        <v>23446.5</v>
      </c>
      <c r="J991" s="139">
        <v>0</v>
      </c>
      <c r="K991" s="139">
        <f t="shared" si="149"/>
        <v>23446.5</v>
      </c>
      <c r="L991" s="139">
        <v>0</v>
      </c>
      <c r="M991" s="139">
        <f t="shared" si="150"/>
        <v>23446.5</v>
      </c>
      <c r="N991" s="296" t="s">
        <v>44</v>
      </c>
    </row>
    <row r="992" spans="1:14" ht="15.75" customHeight="1" x14ac:dyDescent="0.25">
      <c r="A992" s="183">
        <v>45987</v>
      </c>
      <c r="B992" s="184" t="s">
        <v>88</v>
      </c>
      <c r="C992" s="184">
        <v>29.17</v>
      </c>
      <c r="D992" s="184">
        <v>9.7100000000000009</v>
      </c>
      <c r="E992" s="184">
        <f t="shared" si="105"/>
        <v>19.46</v>
      </c>
      <c r="F992" s="297" t="s">
        <v>26</v>
      </c>
      <c r="G992" s="297" t="s">
        <v>48</v>
      </c>
      <c r="H992" s="139">
        <v>1225</v>
      </c>
      <c r="I992" s="139">
        <f t="shared" ref="I992" si="151">H992*E992</f>
        <v>23838.5</v>
      </c>
      <c r="J992" s="139">
        <v>0</v>
      </c>
      <c r="K992" s="139">
        <f t="shared" ref="K992" si="152">I992+J992</f>
        <v>23838.5</v>
      </c>
      <c r="L992" s="139">
        <v>0</v>
      </c>
      <c r="M992" s="139">
        <f t="shared" ref="M992" si="153">K992-L992</f>
        <v>23838.5</v>
      </c>
      <c r="N992" s="296" t="s">
        <v>44</v>
      </c>
    </row>
    <row r="993" spans="1:14" ht="15.75" customHeight="1" x14ac:dyDescent="0.25">
      <c r="A993" s="183">
        <v>45987</v>
      </c>
      <c r="B993" s="184" t="s">
        <v>67</v>
      </c>
      <c r="C993" s="184">
        <v>29.46</v>
      </c>
      <c r="D993" s="184">
        <v>9.61</v>
      </c>
      <c r="E993" s="184">
        <f t="shared" si="105"/>
        <v>19.850000000000001</v>
      </c>
      <c r="F993" s="297" t="s">
        <v>26</v>
      </c>
      <c r="G993" s="297" t="s">
        <v>48</v>
      </c>
      <c r="H993" s="139">
        <v>1225</v>
      </c>
      <c r="I993" s="139">
        <f t="shared" ref="I993:I998" si="154">H993*E993</f>
        <v>24316.25</v>
      </c>
      <c r="J993" s="139">
        <v>0</v>
      </c>
      <c r="K993" s="139">
        <f t="shared" ref="K993:K998" si="155">I993+J993</f>
        <v>24316.25</v>
      </c>
      <c r="L993" s="139">
        <v>0</v>
      </c>
      <c r="M993" s="139">
        <f t="shared" ref="M993:M998" si="156">K993-L993</f>
        <v>24316.25</v>
      </c>
      <c r="N993" s="296" t="s">
        <v>44</v>
      </c>
    </row>
    <row r="994" spans="1:14" ht="15.75" customHeight="1" x14ac:dyDescent="0.25">
      <c r="A994" s="183">
        <v>45987</v>
      </c>
      <c r="B994" s="184" t="s">
        <v>22</v>
      </c>
      <c r="C994" s="184">
        <v>30.56</v>
      </c>
      <c r="D994" s="184">
        <v>9.52</v>
      </c>
      <c r="E994" s="184">
        <f t="shared" si="105"/>
        <v>21.04</v>
      </c>
      <c r="F994" s="297" t="s">
        <v>35</v>
      </c>
      <c r="G994" s="297" t="s">
        <v>725</v>
      </c>
      <c r="H994" s="139">
        <v>1150</v>
      </c>
      <c r="I994" s="139">
        <f t="shared" si="154"/>
        <v>24196</v>
      </c>
      <c r="J994" s="139">
        <v>0</v>
      </c>
      <c r="K994" s="139">
        <f t="shared" si="155"/>
        <v>24196</v>
      </c>
      <c r="L994" s="139">
        <v>0</v>
      </c>
      <c r="M994" s="139">
        <f t="shared" si="156"/>
        <v>24196</v>
      </c>
      <c r="N994" s="296" t="s">
        <v>44</v>
      </c>
    </row>
    <row r="995" spans="1:14" ht="15.75" customHeight="1" x14ac:dyDescent="0.25">
      <c r="A995" s="183">
        <v>45987</v>
      </c>
      <c r="B995" s="184" t="s">
        <v>49</v>
      </c>
      <c r="C995" s="184">
        <v>29.48</v>
      </c>
      <c r="D995" s="184">
        <v>9.57</v>
      </c>
      <c r="E995" s="184">
        <f t="shared" si="105"/>
        <v>19.91</v>
      </c>
      <c r="F995" s="297" t="s">
        <v>35</v>
      </c>
      <c r="G995" s="297" t="s">
        <v>725</v>
      </c>
      <c r="H995" s="139">
        <v>1150</v>
      </c>
      <c r="I995" s="139">
        <f t="shared" si="154"/>
        <v>22896.5</v>
      </c>
      <c r="J995" s="139">
        <v>0</v>
      </c>
      <c r="K995" s="139">
        <f t="shared" si="155"/>
        <v>22896.5</v>
      </c>
      <c r="L995" s="139">
        <v>0</v>
      </c>
      <c r="M995" s="139">
        <f t="shared" si="156"/>
        <v>22896.5</v>
      </c>
      <c r="N995" s="296" t="s">
        <v>44</v>
      </c>
    </row>
    <row r="996" spans="1:14" ht="15.75" customHeight="1" x14ac:dyDescent="0.25">
      <c r="A996" s="183">
        <v>45987</v>
      </c>
      <c r="B996" s="184" t="s">
        <v>67</v>
      </c>
      <c r="C996" s="184">
        <v>29.52</v>
      </c>
      <c r="D996" s="184">
        <v>9.5</v>
      </c>
      <c r="E996" s="184">
        <f t="shared" si="105"/>
        <v>20.02</v>
      </c>
      <c r="F996" s="297" t="s">
        <v>23</v>
      </c>
      <c r="G996" s="297" t="s">
        <v>747</v>
      </c>
      <c r="H996" s="139">
        <v>1350</v>
      </c>
      <c r="I996" s="139">
        <f t="shared" si="154"/>
        <v>27027</v>
      </c>
      <c r="J996" s="139">
        <v>0</v>
      </c>
      <c r="K996" s="139">
        <f t="shared" si="155"/>
        <v>27027</v>
      </c>
      <c r="L996" s="139">
        <v>0</v>
      </c>
      <c r="M996" s="139">
        <f t="shared" si="156"/>
        <v>27027</v>
      </c>
      <c r="N996" s="296" t="s">
        <v>44</v>
      </c>
    </row>
    <row r="997" spans="1:14" ht="15.75" customHeight="1" x14ac:dyDescent="0.25">
      <c r="A997" s="183">
        <v>45988</v>
      </c>
      <c r="B997" s="184" t="s">
        <v>67</v>
      </c>
      <c r="C997" s="184">
        <v>29.72</v>
      </c>
      <c r="D997" s="184">
        <v>9.86</v>
      </c>
      <c r="E997" s="184">
        <f t="shared" si="105"/>
        <v>19.86</v>
      </c>
      <c r="F997" s="297" t="s">
        <v>26</v>
      </c>
      <c r="G997" s="297" t="s">
        <v>57</v>
      </c>
      <c r="H997" s="23">
        <v>1365</v>
      </c>
      <c r="I997" s="23">
        <f t="shared" si="154"/>
        <v>27108.899999999998</v>
      </c>
      <c r="J997" s="23">
        <v>0</v>
      </c>
      <c r="K997" s="23">
        <f t="shared" si="155"/>
        <v>27108.899999999998</v>
      </c>
      <c r="L997" s="23">
        <v>0</v>
      </c>
      <c r="M997" s="23">
        <f t="shared" si="156"/>
        <v>27108.899999999998</v>
      </c>
      <c r="N997" s="299" t="s">
        <v>44</v>
      </c>
    </row>
    <row r="998" spans="1:14" ht="15.75" customHeight="1" x14ac:dyDescent="0.25">
      <c r="A998" s="183">
        <v>45988</v>
      </c>
      <c r="B998" s="184" t="s">
        <v>30</v>
      </c>
      <c r="C998" s="184">
        <v>28.01</v>
      </c>
      <c r="D998" s="184">
        <v>9.66</v>
      </c>
      <c r="E998" s="184">
        <f t="shared" si="105"/>
        <v>18.350000000000001</v>
      </c>
      <c r="F998" s="297" t="s">
        <v>26</v>
      </c>
      <c r="G998" s="297" t="s">
        <v>57</v>
      </c>
      <c r="H998" s="23">
        <v>1365</v>
      </c>
      <c r="I998" s="23">
        <f t="shared" si="154"/>
        <v>25047.750000000004</v>
      </c>
      <c r="J998" s="23">
        <v>0</v>
      </c>
      <c r="K998" s="23">
        <f t="shared" si="155"/>
        <v>25047.750000000004</v>
      </c>
      <c r="L998" s="23">
        <v>0</v>
      </c>
      <c r="M998" s="23">
        <f t="shared" si="156"/>
        <v>25047.750000000004</v>
      </c>
      <c r="N998" s="299" t="s">
        <v>44</v>
      </c>
    </row>
    <row r="999" spans="1:14" ht="15.75" customHeight="1" x14ac:dyDescent="0.25">
      <c r="A999" s="183">
        <v>45988</v>
      </c>
      <c r="B999" s="184" t="s">
        <v>88</v>
      </c>
      <c r="C999" s="184">
        <v>28.41</v>
      </c>
      <c r="D999" s="184">
        <v>9.94</v>
      </c>
      <c r="E999" s="184">
        <f t="shared" si="105"/>
        <v>18.47</v>
      </c>
      <c r="F999" s="297" t="s">
        <v>23</v>
      </c>
      <c r="G999" s="297" t="s">
        <v>747</v>
      </c>
      <c r="H999" s="139">
        <v>1350</v>
      </c>
      <c r="I999" s="139">
        <f t="shared" ref="I999:I1000" si="157">H999*E999</f>
        <v>24934.5</v>
      </c>
      <c r="J999" s="139">
        <v>0</v>
      </c>
      <c r="K999" s="139">
        <f t="shared" ref="K999:K1000" si="158">I999+J999</f>
        <v>24934.5</v>
      </c>
      <c r="L999" s="139">
        <v>0</v>
      </c>
      <c r="M999" s="139">
        <f t="shared" ref="M999:M1000" si="159">K999-L999</f>
        <v>24934.5</v>
      </c>
      <c r="N999" s="296" t="s">
        <v>44</v>
      </c>
    </row>
    <row r="1000" spans="1:14" ht="15.75" customHeight="1" x14ac:dyDescent="0.25">
      <c r="A1000" s="183">
        <v>45988</v>
      </c>
      <c r="B1000" s="184" t="s">
        <v>40</v>
      </c>
      <c r="C1000" s="184">
        <v>6.69</v>
      </c>
      <c r="D1000" s="184">
        <v>2.89</v>
      </c>
      <c r="E1000" s="184">
        <f t="shared" si="105"/>
        <v>3.8000000000000003</v>
      </c>
      <c r="F1000" s="297" t="s">
        <v>23</v>
      </c>
      <c r="G1000" s="297" t="s">
        <v>748</v>
      </c>
      <c r="H1000" s="139">
        <v>1400</v>
      </c>
      <c r="I1000" s="139">
        <f t="shared" si="157"/>
        <v>5320</v>
      </c>
      <c r="J1000" s="139">
        <v>0</v>
      </c>
      <c r="K1000" s="139">
        <f t="shared" si="158"/>
        <v>5320</v>
      </c>
      <c r="L1000" s="139">
        <v>20</v>
      </c>
      <c r="M1000" s="139">
        <f t="shared" si="159"/>
        <v>5300</v>
      </c>
      <c r="N1000" s="296" t="s">
        <v>20</v>
      </c>
    </row>
    <row r="1001" spans="1:14" ht="15.75" customHeight="1" x14ac:dyDescent="0.25">
      <c r="A1001" s="183">
        <v>45988</v>
      </c>
      <c r="B1001" s="184" t="s">
        <v>47</v>
      </c>
      <c r="C1001" s="184">
        <v>29.57</v>
      </c>
      <c r="D1001" s="184">
        <v>9.4600000000000009</v>
      </c>
      <c r="E1001" s="184">
        <f t="shared" si="105"/>
        <v>20.11</v>
      </c>
      <c r="F1001" s="297" t="s">
        <v>38</v>
      </c>
      <c r="G1001" s="297" t="s">
        <v>731</v>
      </c>
      <c r="H1001" s="139">
        <v>500</v>
      </c>
      <c r="I1001" s="139">
        <f t="shared" ref="I1001:I1004" si="160">H1001*E1001</f>
        <v>10055</v>
      </c>
      <c r="J1001" s="139">
        <v>0</v>
      </c>
      <c r="K1001" s="139">
        <f t="shared" ref="K1001:K1004" si="161">I1001+J1001</f>
        <v>10055</v>
      </c>
      <c r="L1001" s="139">
        <v>0</v>
      </c>
      <c r="M1001" s="139">
        <f t="shared" ref="M1001:M1004" si="162">K1001-L1001</f>
        <v>10055</v>
      </c>
      <c r="N1001" s="296" t="s">
        <v>44</v>
      </c>
    </row>
    <row r="1002" spans="1:14" ht="15.75" customHeight="1" x14ac:dyDescent="0.25">
      <c r="A1002" s="183">
        <v>45988</v>
      </c>
      <c r="B1002" s="184" t="s">
        <v>67</v>
      </c>
      <c r="C1002" s="184">
        <v>28.93</v>
      </c>
      <c r="D1002" s="184">
        <v>9.8800000000000008</v>
      </c>
      <c r="E1002" s="184">
        <f t="shared" si="105"/>
        <v>19.049999999999997</v>
      </c>
      <c r="F1002" s="297" t="s">
        <v>23</v>
      </c>
      <c r="G1002" s="297" t="s">
        <v>747</v>
      </c>
      <c r="H1002" s="139">
        <v>1350</v>
      </c>
      <c r="I1002" s="139">
        <f t="shared" si="160"/>
        <v>25717.499999999996</v>
      </c>
      <c r="J1002" s="139">
        <v>0</v>
      </c>
      <c r="K1002" s="139">
        <f t="shared" si="161"/>
        <v>25717.499999999996</v>
      </c>
      <c r="L1002" s="139">
        <v>0</v>
      </c>
      <c r="M1002" s="139">
        <f t="shared" si="162"/>
        <v>25717.499999999996</v>
      </c>
      <c r="N1002" s="296" t="s">
        <v>44</v>
      </c>
    </row>
    <row r="1003" spans="1:14" ht="15.75" customHeight="1" x14ac:dyDescent="0.25">
      <c r="A1003" s="183">
        <v>45989</v>
      </c>
      <c r="B1003" s="184" t="s">
        <v>49</v>
      </c>
      <c r="C1003" s="184">
        <v>31.37</v>
      </c>
      <c r="D1003" s="184">
        <v>9.5299999999999994</v>
      </c>
      <c r="E1003" s="184">
        <f t="shared" si="105"/>
        <v>21.840000000000003</v>
      </c>
      <c r="F1003" s="297" t="s">
        <v>35</v>
      </c>
      <c r="G1003" s="297" t="s">
        <v>725</v>
      </c>
      <c r="H1003" s="139">
        <v>1150</v>
      </c>
      <c r="I1003" s="139">
        <f t="shared" si="160"/>
        <v>25116.000000000004</v>
      </c>
      <c r="J1003" s="139">
        <v>0</v>
      </c>
      <c r="K1003" s="139">
        <f t="shared" si="161"/>
        <v>25116.000000000004</v>
      </c>
      <c r="L1003" s="139">
        <v>0</v>
      </c>
      <c r="M1003" s="139">
        <f t="shared" si="162"/>
        <v>25116.000000000004</v>
      </c>
      <c r="N1003" s="296" t="s">
        <v>44</v>
      </c>
    </row>
    <row r="1004" spans="1:14" ht="15.75" customHeight="1" x14ac:dyDescent="0.25">
      <c r="A1004" s="183">
        <v>45989</v>
      </c>
      <c r="B1004" s="184" t="s">
        <v>30</v>
      </c>
      <c r="C1004" s="184">
        <v>30.55</v>
      </c>
      <c r="D1004" s="184">
        <v>9.7100000000000009</v>
      </c>
      <c r="E1004" s="184">
        <f t="shared" si="105"/>
        <v>20.84</v>
      </c>
      <c r="F1004" s="297" t="s">
        <v>23</v>
      </c>
      <c r="G1004" s="297" t="s">
        <v>750</v>
      </c>
      <c r="H1004" s="139">
        <v>1300</v>
      </c>
      <c r="I1004" s="139">
        <f t="shared" si="160"/>
        <v>27092</v>
      </c>
      <c r="J1004" s="139">
        <v>0</v>
      </c>
      <c r="K1004" s="139">
        <f t="shared" si="161"/>
        <v>27092</v>
      </c>
      <c r="L1004" s="139">
        <v>0</v>
      </c>
      <c r="M1004" s="139">
        <f t="shared" si="162"/>
        <v>27092</v>
      </c>
      <c r="N1004" s="296" t="s">
        <v>20</v>
      </c>
    </row>
    <row r="1005" spans="1:14" ht="15.75" customHeight="1" x14ac:dyDescent="0.25">
      <c r="A1005" s="183">
        <v>45989</v>
      </c>
      <c r="B1005" s="184" t="s">
        <v>22</v>
      </c>
      <c r="C1005" s="184">
        <v>30.61</v>
      </c>
      <c r="D1005" s="184">
        <v>9.5</v>
      </c>
      <c r="E1005" s="184">
        <f t="shared" si="105"/>
        <v>21.11</v>
      </c>
      <c r="F1005" s="297" t="s">
        <v>35</v>
      </c>
      <c r="G1005" s="297" t="s">
        <v>725</v>
      </c>
      <c r="H1005" s="139">
        <v>1150</v>
      </c>
      <c r="I1005" s="139">
        <f t="shared" ref="I1005:I1009" si="163">H1005*E1005</f>
        <v>24276.5</v>
      </c>
      <c r="J1005" s="139">
        <v>0</v>
      </c>
      <c r="K1005" s="139">
        <f t="shared" ref="K1005:K1009" si="164">I1005+J1005</f>
        <v>24276.5</v>
      </c>
      <c r="L1005" s="139">
        <v>0</v>
      </c>
      <c r="M1005" s="139">
        <f t="shared" ref="M1005:M1009" si="165">K1005-L1005</f>
        <v>24276.5</v>
      </c>
      <c r="N1005" s="296" t="s">
        <v>44</v>
      </c>
    </row>
    <row r="1006" spans="1:14" ht="15.75" customHeight="1" x14ac:dyDescent="0.25">
      <c r="A1006" s="183">
        <v>45989</v>
      </c>
      <c r="B1006" s="184" t="s">
        <v>749</v>
      </c>
      <c r="C1006" s="184">
        <v>19.899999999999999</v>
      </c>
      <c r="D1006" s="184">
        <v>9.76</v>
      </c>
      <c r="E1006" s="184">
        <f t="shared" si="105"/>
        <v>10.139999999999999</v>
      </c>
      <c r="F1006" s="297" t="s">
        <v>23</v>
      </c>
      <c r="G1006" s="297" t="s">
        <v>751</v>
      </c>
      <c r="H1006" s="139">
        <v>1350</v>
      </c>
      <c r="I1006" s="139">
        <f t="shared" si="163"/>
        <v>13688.999999999998</v>
      </c>
      <c r="J1006" s="139">
        <v>0</v>
      </c>
      <c r="K1006" s="139">
        <f t="shared" si="164"/>
        <v>13688.999999999998</v>
      </c>
      <c r="L1006" s="139">
        <v>0</v>
      </c>
      <c r="M1006" s="139">
        <f t="shared" si="165"/>
        <v>13688.999999999998</v>
      </c>
      <c r="N1006" s="296" t="s">
        <v>44</v>
      </c>
    </row>
    <row r="1007" spans="1:14" ht="15.75" customHeight="1" x14ac:dyDescent="0.25">
      <c r="A1007" s="183">
        <v>45989</v>
      </c>
      <c r="B1007" s="184" t="s">
        <v>92</v>
      </c>
      <c r="C1007" s="184">
        <v>5.13</v>
      </c>
      <c r="D1007" s="184">
        <v>3.29</v>
      </c>
      <c r="E1007" s="184">
        <f t="shared" si="105"/>
        <v>1.8399999999999999</v>
      </c>
      <c r="F1007" s="297" t="s">
        <v>23</v>
      </c>
      <c r="G1007" s="297" t="s">
        <v>188</v>
      </c>
      <c r="H1007" s="139">
        <v>1400</v>
      </c>
      <c r="I1007" s="139">
        <f t="shared" si="163"/>
        <v>2576</v>
      </c>
      <c r="J1007" s="139">
        <v>0</v>
      </c>
      <c r="K1007" s="139">
        <f t="shared" si="164"/>
        <v>2576</v>
      </c>
      <c r="L1007" s="139">
        <v>26</v>
      </c>
      <c r="M1007" s="139">
        <f t="shared" si="165"/>
        <v>2550</v>
      </c>
      <c r="N1007" s="296" t="s">
        <v>20</v>
      </c>
    </row>
    <row r="1008" spans="1:14" ht="15.75" customHeight="1" x14ac:dyDescent="0.25">
      <c r="A1008" s="183">
        <v>45989</v>
      </c>
      <c r="B1008" s="184" t="s">
        <v>88</v>
      </c>
      <c r="C1008" s="184">
        <v>28.36</v>
      </c>
      <c r="D1008" s="184">
        <v>9.64</v>
      </c>
      <c r="E1008" s="184">
        <f t="shared" si="105"/>
        <v>18.72</v>
      </c>
      <c r="F1008" s="297" t="s">
        <v>23</v>
      </c>
      <c r="G1008" s="297" t="s">
        <v>736</v>
      </c>
      <c r="H1008" s="139">
        <v>1325</v>
      </c>
      <c r="I1008" s="139">
        <f t="shared" si="163"/>
        <v>24804</v>
      </c>
      <c r="J1008" s="139">
        <v>2000</v>
      </c>
      <c r="K1008" s="139">
        <f t="shared" si="164"/>
        <v>26804</v>
      </c>
      <c r="L1008" s="139">
        <v>0</v>
      </c>
      <c r="M1008" s="139">
        <f t="shared" si="165"/>
        <v>26804</v>
      </c>
      <c r="N1008" s="296" t="s">
        <v>44</v>
      </c>
    </row>
    <row r="1009" spans="1:14" ht="15.75" customHeight="1" x14ac:dyDescent="0.25">
      <c r="A1009" s="183">
        <v>45990</v>
      </c>
      <c r="B1009" s="184" t="s">
        <v>49</v>
      </c>
      <c r="C1009" s="184">
        <v>29.68</v>
      </c>
      <c r="D1009" s="184">
        <v>9.34</v>
      </c>
      <c r="E1009" s="184">
        <f t="shared" si="105"/>
        <v>20.34</v>
      </c>
      <c r="F1009" s="297" t="s">
        <v>23</v>
      </c>
      <c r="G1009" s="297" t="s">
        <v>725</v>
      </c>
      <c r="H1009" s="139">
        <v>1300</v>
      </c>
      <c r="I1009" s="139">
        <f t="shared" si="163"/>
        <v>26442</v>
      </c>
      <c r="J1009" s="139">
        <v>0</v>
      </c>
      <c r="K1009" s="139">
        <f t="shared" si="164"/>
        <v>26442</v>
      </c>
      <c r="L1009" s="139">
        <v>0</v>
      </c>
      <c r="M1009" s="139">
        <f t="shared" si="165"/>
        <v>26442</v>
      </c>
      <c r="N1009" s="296" t="s">
        <v>44</v>
      </c>
    </row>
    <row r="1010" spans="1:14" ht="15.75" customHeight="1" x14ac:dyDescent="0.25">
      <c r="A1010" s="183">
        <v>45990</v>
      </c>
      <c r="B1010" s="184" t="s">
        <v>67</v>
      </c>
      <c r="C1010" s="184">
        <v>29.99</v>
      </c>
      <c r="D1010" s="184">
        <v>9.52</v>
      </c>
      <c r="E1010" s="184">
        <f t="shared" si="105"/>
        <v>20.47</v>
      </c>
      <c r="F1010" s="297" t="s">
        <v>23</v>
      </c>
      <c r="G1010" s="297" t="s">
        <v>752</v>
      </c>
      <c r="H1010" s="139">
        <v>1300</v>
      </c>
      <c r="I1010" s="139">
        <f t="shared" ref="I1010" si="166">H1010*E1010</f>
        <v>26611</v>
      </c>
      <c r="J1010" s="139">
        <v>0</v>
      </c>
      <c r="K1010" s="139">
        <f t="shared" ref="K1010" si="167">I1010+J1010</f>
        <v>26611</v>
      </c>
      <c r="L1010" s="139">
        <v>0</v>
      </c>
      <c r="M1010" s="139">
        <f t="shared" ref="M1010" si="168">K1010-L1010</f>
        <v>26611</v>
      </c>
      <c r="N1010" s="296" t="s">
        <v>44</v>
      </c>
    </row>
    <row r="1011" spans="1:14" ht="15.75" customHeight="1" x14ac:dyDescent="0.25">
      <c r="A1011" s="183">
        <v>45990</v>
      </c>
      <c r="B1011" s="184" t="s">
        <v>67</v>
      </c>
      <c r="C1011" s="184">
        <v>29.14</v>
      </c>
      <c r="D1011" s="184">
        <v>9.48</v>
      </c>
      <c r="E1011" s="184">
        <f t="shared" si="105"/>
        <v>19.66</v>
      </c>
      <c r="F1011" s="297" t="s">
        <v>23</v>
      </c>
      <c r="G1011" s="297" t="s">
        <v>752</v>
      </c>
      <c r="H1011" s="139">
        <v>1300</v>
      </c>
      <c r="I1011" s="139">
        <f t="shared" ref="I1011" si="169">H1011*E1011</f>
        <v>25558</v>
      </c>
      <c r="J1011" s="139">
        <v>0</v>
      </c>
      <c r="K1011" s="139">
        <f t="shared" ref="K1011" si="170">I1011+J1011</f>
        <v>25558</v>
      </c>
      <c r="L1011" s="139">
        <v>0</v>
      </c>
      <c r="M1011" s="139">
        <f t="shared" ref="M1011" si="171">K1011-L1011</f>
        <v>25558</v>
      </c>
      <c r="N1011" s="296" t="s">
        <v>44</v>
      </c>
    </row>
    <row r="1012" spans="1:14" ht="15.75" customHeight="1" x14ac:dyDescent="0.25">
      <c r="A1012" s="183">
        <v>45990</v>
      </c>
      <c r="B1012" s="184" t="s">
        <v>22</v>
      </c>
      <c r="C1012" s="184">
        <v>29.44</v>
      </c>
      <c r="D1012" s="184">
        <v>9.99</v>
      </c>
      <c r="E1012" s="184">
        <f t="shared" si="105"/>
        <v>19.450000000000003</v>
      </c>
      <c r="F1012" s="297" t="s">
        <v>23</v>
      </c>
      <c r="G1012" s="297" t="s">
        <v>725</v>
      </c>
      <c r="H1012" s="139">
        <v>1300</v>
      </c>
      <c r="I1012" s="139">
        <f t="shared" ref="I1012:I1013" si="172">H1012*E1012</f>
        <v>25285.000000000004</v>
      </c>
      <c r="J1012" s="139">
        <v>0</v>
      </c>
      <c r="K1012" s="139">
        <f t="shared" ref="K1012:K1013" si="173">I1012+J1012</f>
        <v>25285.000000000004</v>
      </c>
      <c r="L1012" s="139">
        <v>0</v>
      </c>
      <c r="M1012" s="139">
        <f t="shared" ref="M1012:M1013" si="174">K1012-L1012</f>
        <v>25285.000000000004</v>
      </c>
      <c r="N1012" s="296" t="s">
        <v>44</v>
      </c>
    </row>
    <row r="1013" spans="1:14" ht="15.75" customHeight="1" thickBot="1" x14ac:dyDescent="0.3">
      <c r="A1013" s="186">
        <v>45991</v>
      </c>
      <c r="B1013" s="187" t="s">
        <v>112</v>
      </c>
      <c r="C1013" s="187">
        <v>9.3699999999999992</v>
      </c>
      <c r="D1013" s="187">
        <v>3.36</v>
      </c>
      <c r="E1013" s="187">
        <f t="shared" si="105"/>
        <v>6.01</v>
      </c>
      <c r="F1013" s="300" t="s">
        <v>23</v>
      </c>
      <c r="G1013" s="300" t="s">
        <v>753</v>
      </c>
      <c r="H1013" s="188">
        <v>1400</v>
      </c>
      <c r="I1013" s="188">
        <f t="shared" si="172"/>
        <v>8414</v>
      </c>
      <c r="J1013" s="188">
        <v>0</v>
      </c>
      <c r="K1013" s="188">
        <f t="shared" si="173"/>
        <v>8414</v>
      </c>
      <c r="L1013" s="188">
        <v>14</v>
      </c>
      <c r="M1013" s="188">
        <f t="shared" si="174"/>
        <v>8400</v>
      </c>
      <c r="N1013" s="301" t="s">
        <v>20</v>
      </c>
    </row>
    <row r="1014" spans="1:14" ht="15.75" customHeight="1" thickBot="1" x14ac:dyDescent="0.3">
      <c r="A1014" s="475" t="s">
        <v>83</v>
      </c>
      <c r="B1014" s="476"/>
      <c r="C1014" s="200">
        <f>SUM(C919:C1013)</f>
        <v>2509.2199999999998</v>
      </c>
      <c r="D1014" s="200">
        <f>SUM(D919:D1013)</f>
        <v>857.86</v>
      </c>
      <c r="E1014" s="200">
        <f>SUM(E919:E1013)</f>
        <v>1651.3599999999994</v>
      </c>
      <c r="F1014" s="201"/>
      <c r="G1014" s="201"/>
      <c r="H1014" s="172">
        <f>SUM(H919:H1013)</f>
        <v>115698.838</v>
      </c>
      <c r="I1014" s="172">
        <f t="shared" ref="I1014:M1014" si="175">SUM(I919:I1013)</f>
        <v>1984079.14378</v>
      </c>
      <c r="J1014" s="172">
        <f t="shared" si="175"/>
        <v>28502.010000000002</v>
      </c>
      <c r="K1014" s="172">
        <f t="shared" si="175"/>
        <v>2012581.1537799998</v>
      </c>
      <c r="L1014" s="172">
        <f t="shared" si="175"/>
        <v>497</v>
      </c>
      <c r="M1014" s="172">
        <f t="shared" si="175"/>
        <v>2012084.1537799998</v>
      </c>
      <c r="N1014" s="202"/>
    </row>
    <row r="1015" spans="1:14" ht="15.75" customHeight="1" x14ac:dyDescent="0.25"/>
    <row r="1016" spans="1:14" ht="15.75" customHeight="1" x14ac:dyDescent="0.25"/>
    <row r="1017" spans="1:14" ht="15.75" customHeight="1" thickBot="1" x14ac:dyDescent="0.3">
      <c r="A1017" s="455" t="s">
        <v>954</v>
      </c>
      <c r="B1017" s="456"/>
      <c r="C1017" s="456"/>
      <c r="D1017" s="456"/>
      <c r="E1017" s="456"/>
      <c r="F1017" s="456"/>
      <c r="G1017" s="456"/>
      <c r="H1017" s="456"/>
      <c r="I1017" s="456"/>
      <c r="J1017" s="456"/>
      <c r="K1017" s="456"/>
      <c r="L1017" s="456"/>
      <c r="M1017" s="456"/>
      <c r="N1017" s="456"/>
    </row>
    <row r="1018" spans="1:14" ht="15.75" customHeight="1" thickBot="1" x14ac:dyDescent="0.3">
      <c r="A1018" s="176" t="s">
        <v>1</v>
      </c>
      <c r="B1018" s="177" t="s">
        <v>2</v>
      </c>
      <c r="C1018" s="177" t="s">
        <v>3</v>
      </c>
      <c r="D1018" s="177" t="s">
        <v>4</v>
      </c>
      <c r="E1018" s="177" t="s">
        <v>5</v>
      </c>
      <c r="F1018" s="177" t="s">
        <v>6</v>
      </c>
      <c r="G1018" s="177" t="s">
        <v>7</v>
      </c>
      <c r="H1018" s="177" t="s">
        <v>8</v>
      </c>
      <c r="I1018" s="177" t="s">
        <v>9</v>
      </c>
      <c r="J1018" s="177" t="s">
        <v>10</v>
      </c>
      <c r="K1018" s="177" t="s">
        <v>11</v>
      </c>
      <c r="L1018" s="177" t="s">
        <v>12</v>
      </c>
      <c r="M1018" s="177" t="s">
        <v>13</v>
      </c>
      <c r="N1018" s="178" t="s">
        <v>14</v>
      </c>
    </row>
    <row r="1019" spans="1:14" ht="15.75" customHeight="1" x14ac:dyDescent="0.25">
      <c r="A1019" s="179">
        <v>45992</v>
      </c>
      <c r="B1019" s="180" t="s">
        <v>67</v>
      </c>
      <c r="C1019" s="180">
        <v>32.53</v>
      </c>
      <c r="D1019" s="180">
        <v>9.52</v>
      </c>
      <c r="E1019" s="180">
        <f t="shared" ref="E1019:E1158" si="176">C1019-D1019</f>
        <v>23.01</v>
      </c>
      <c r="F1019" s="318" t="s">
        <v>26</v>
      </c>
      <c r="G1019" s="318" t="s">
        <v>899</v>
      </c>
      <c r="H1019" s="181">
        <v>1225</v>
      </c>
      <c r="I1019" s="181">
        <f t="shared" ref="I1019:I1024" si="177">H1019*E1019</f>
        <v>28187.250000000004</v>
      </c>
      <c r="J1019" s="181">
        <v>0</v>
      </c>
      <c r="K1019" s="181">
        <f t="shared" ref="K1019:K1024" si="178">I1019+J1019</f>
        <v>28187.250000000004</v>
      </c>
      <c r="L1019" s="181">
        <v>0</v>
      </c>
      <c r="M1019" s="181">
        <f t="shared" ref="M1019:M1024" si="179">K1019-L1019</f>
        <v>28187.250000000004</v>
      </c>
      <c r="N1019" s="320" t="s">
        <v>44</v>
      </c>
    </row>
    <row r="1020" spans="1:14" ht="15.75" customHeight="1" x14ac:dyDescent="0.25">
      <c r="A1020" s="183">
        <v>45992</v>
      </c>
      <c r="B1020" s="184" t="s">
        <v>49</v>
      </c>
      <c r="C1020" s="184">
        <v>30.13</v>
      </c>
      <c r="D1020" s="184">
        <v>9.48</v>
      </c>
      <c r="E1020" s="184">
        <f t="shared" si="176"/>
        <v>20.65</v>
      </c>
      <c r="F1020" s="184" t="s">
        <v>35</v>
      </c>
      <c r="G1020" s="184" t="s">
        <v>900</v>
      </c>
      <c r="H1020" s="139">
        <v>1100</v>
      </c>
      <c r="I1020" s="139">
        <f t="shared" si="177"/>
        <v>22715</v>
      </c>
      <c r="J1020" s="139">
        <v>0</v>
      </c>
      <c r="K1020" s="139">
        <f t="shared" si="178"/>
        <v>22715</v>
      </c>
      <c r="L1020" s="139">
        <v>0</v>
      </c>
      <c r="M1020" s="139">
        <f t="shared" si="179"/>
        <v>22715</v>
      </c>
      <c r="N1020" s="185" t="s">
        <v>44</v>
      </c>
    </row>
    <row r="1021" spans="1:14" ht="15.75" customHeight="1" x14ac:dyDescent="0.25">
      <c r="A1021" s="183">
        <v>45992</v>
      </c>
      <c r="B1021" s="184" t="s">
        <v>22</v>
      </c>
      <c r="C1021" s="184">
        <v>29.85</v>
      </c>
      <c r="D1021" s="184">
        <v>9.6300000000000008</v>
      </c>
      <c r="E1021" s="184">
        <f t="shared" si="176"/>
        <v>20.22</v>
      </c>
      <c r="F1021" s="184" t="s">
        <v>35</v>
      </c>
      <c r="G1021" s="184" t="s">
        <v>900</v>
      </c>
      <c r="H1021" s="139">
        <v>1100</v>
      </c>
      <c r="I1021" s="139">
        <f t="shared" si="177"/>
        <v>22242</v>
      </c>
      <c r="J1021" s="139">
        <v>0</v>
      </c>
      <c r="K1021" s="139">
        <f t="shared" si="178"/>
        <v>22242</v>
      </c>
      <c r="L1021" s="139">
        <v>0</v>
      </c>
      <c r="M1021" s="139">
        <f t="shared" si="179"/>
        <v>22242</v>
      </c>
      <c r="N1021" s="185" t="s">
        <v>44</v>
      </c>
    </row>
    <row r="1022" spans="1:14" ht="15.75" customHeight="1" thickBot="1" x14ac:dyDescent="0.3">
      <c r="A1022" s="186">
        <v>45992</v>
      </c>
      <c r="B1022" s="187" t="s">
        <v>577</v>
      </c>
      <c r="C1022" s="187">
        <v>29.06</v>
      </c>
      <c r="D1022" s="187">
        <v>9.81</v>
      </c>
      <c r="E1022" s="187">
        <f t="shared" si="176"/>
        <v>19.25</v>
      </c>
      <c r="F1022" s="187" t="s">
        <v>35</v>
      </c>
      <c r="G1022" s="187" t="s">
        <v>900</v>
      </c>
      <c r="H1022" s="188">
        <v>1100</v>
      </c>
      <c r="I1022" s="188">
        <f t="shared" si="177"/>
        <v>21175</v>
      </c>
      <c r="J1022" s="188">
        <v>0</v>
      </c>
      <c r="K1022" s="188">
        <f t="shared" si="178"/>
        <v>21175</v>
      </c>
      <c r="L1022" s="188">
        <v>0</v>
      </c>
      <c r="M1022" s="188">
        <f t="shared" si="179"/>
        <v>21175</v>
      </c>
      <c r="N1022" s="189" t="s">
        <v>44</v>
      </c>
    </row>
    <row r="1023" spans="1:14" ht="15.75" customHeight="1" x14ac:dyDescent="0.25">
      <c r="A1023" s="322">
        <v>45993</v>
      </c>
      <c r="B1023" s="196" t="s">
        <v>67</v>
      </c>
      <c r="C1023" s="196">
        <v>31.32</v>
      </c>
      <c r="D1023" s="196">
        <v>9.5500000000000007</v>
      </c>
      <c r="E1023" s="196">
        <f t="shared" si="176"/>
        <v>21.77</v>
      </c>
      <c r="F1023" s="196" t="s">
        <v>23</v>
      </c>
      <c r="G1023" s="196" t="s">
        <v>901</v>
      </c>
      <c r="H1023" s="198">
        <v>1325</v>
      </c>
      <c r="I1023" s="198">
        <f t="shared" si="177"/>
        <v>28845.25</v>
      </c>
      <c r="J1023" s="198">
        <v>2000</v>
      </c>
      <c r="K1023" s="198">
        <f t="shared" si="178"/>
        <v>30845.25</v>
      </c>
      <c r="L1023" s="198">
        <v>0</v>
      </c>
      <c r="M1023" s="198">
        <f t="shared" si="179"/>
        <v>30845.25</v>
      </c>
      <c r="N1023" s="323" t="s">
        <v>44</v>
      </c>
    </row>
    <row r="1024" spans="1:14" ht="15.75" customHeight="1" x14ac:dyDescent="0.25">
      <c r="A1024" s="321">
        <v>45993</v>
      </c>
      <c r="B1024" s="184" t="s">
        <v>40</v>
      </c>
      <c r="C1024" s="184">
        <v>6.49</v>
      </c>
      <c r="D1024" s="184">
        <v>2.81</v>
      </c>
      <c r="E1024" s="184">
        <f t="shared" si="176"/>
        <v>3.68</v>
      </c>
      <c r="F1024" s="184" t="s">
        <v>23</v>
      </c>
      <c r="G1024" s="184" t="s">
        <v>593</v>
      </c>
      <c r="H1024" s="139">
        <v>1400</v>
      </c>
      <c r="I1024" s="139">
        <f t="shared" si="177"/>
        <v>5152</v>
      </c>
      <c r="J1024" s="139">
        <v>0</v>
      </c>
      <c r="K1024" s="139">
        <f t="shared" si="178"/>
        <v>5152</v>
      </c>
      <c r="L1024" s="139">
        <v>2</v>
      </c>
      <c r="M1024" s="139">
        <f t="shared" si="179"/>
        <v>5150</v>
      </c>
      <c r="N1024" s="319" t="s">
        <v>20</v>
      </c>
    </row>
    <row r="1025" spans="1:14" ht="15.75" customHeight="1" x14ac:dyDescent="0.25">
      <c r="A1025" s="321">
        <v>45993</v>
      </c>
      <c r="B1025" s="184" t="s">
        <v>67</v>
      </c>
      <c r="C1025" s="184">
        <v>34.29</v>
      </c>
      <c r="D1025" s="184">
        <v>9.35</v>
      </c>
      <c r="E1025" s="184">
        <f t="shared" si="176"/>
        <v>24.939999999999998</v>
      </c>
      <c r="F1025" s="184" t="s">
        <v>38</v>
      </c>
      <c r="G1025" s="184" t="s">
        <v>902</v>
      </c>
      <c r="H1025" s="139">
        <v>500</v>
      </c>
      <c r="I1025" s="139">
        <f t="shared" ref="I1025:I1026" si="180">H1025*E1025</f>
        <v>12469.999999999998</v>
      </c>
      <c r="J1025" s="139">
        <v>0</v>
      </c>
      <c r="K1025" s="139">
        <f t="shared" ref="K1025:K1026" si="181">I1025+J1025</f>
        <v>12469.999999999998</v>
      </c>
      <c r="L1025" s="139">
        <v>0</v>
      </c>
      <c r="M1025" s="139">
        <f t="shared" ref="M1025:M1026" si="182">K1025-L1025</f>
        <v>12469.999999999998</v>
      </c>
      <c r="N1025" s="319" t="s">
        <v>44</v>
      </c>
    </row>
    <row r="1026" spans="1:14" ht="15.75" customHeight="1" thickBot="1" x14ac:dyDescent="0.3">
      <c r="A1026" s="324">
        <v>45993</v>
      </c>
      <c r="B1026" s="206" t="s">
        <v>67</v>
      </c>
      <c r="C1026" s="206">
        <v>35.97</v>
      </c>
      <c r="D1026" s="206">
        <v>9.36</v>
      </c>
      <c r="E1026" s="206">
        <f t="shared" si="176"/>
        <v>26.61</v>
      </c>
      <c r="F1026" s="206" t="s">
        <v>38</v>
      </c>
      <c r="G1026" s="206" t="s">
        <v>902</v>
      </c>
      <c r="H1026" s="146">
        <v>500</v>
      </c>
      <c r="I1026" s="146">
        <f t="shared" si="180"/>
        <v>13305</v>
      </c>
      <c r="J1026" s="146">
        <v>0</v>
      </c>
      <c r="K1026" s="146">
        <f t="shared" si="181"/>
        <v>13305</v>
      </c>
      <c r="L1026" s="146">
        <v>0</v>
      </c>
      <c r="M1026" s="146">
        <f t="shared" si="182"/>
        <v>13305</v>
      </c>
      <c r="N1026" s="325" t="s">
        <v>44</v>
      </c>
    </row>
    <row r="1027" spans="1:14" ht="15.75" customHeight="1" x14ac:dyDescent="0.25">
      <c r="A1027" s="159">
        <v>45994</v>
      </c>
      <c r="B1027" s="180" t="s">
        <v>67</v>
      </c>
      <c r="C1027" s="180">
        <v>33.32</v>
      </c>
      <c r="D1027" s="180">
        <v>9.3699999999999992</v>
      </c>
      <c r="E1027" s="180">
        <f t="shared" si="176"/>
        <v>23.950000000000003</v>
      </c>
      <c r="F1027" s="180" t="s">
        <v>38</v>
      </c>
      <c r="G1027" s="180" t="s">
        <v>902</v>
      </c>
      <c r="H1027" s="181">
        <v>500</v>
      </c>
      <c r="I1027" s="181">
        <f t="shared" ref="I1027:I1030" si="183">H1027*E1027</f>
        <v>11975.000000000002</v>
      </c>
      <c r="J1027" s="181">
        <v>0</v>
      </c>
      <c r="K1027" s="181">
        <f t="shared" ref="K1027:K1030" si="184">I1027+J1027</f>
        <v>11975.000000000002</v>
      </c>
      <c r="L1027" s="181">
        <v>0</v>
      </c>
      <c r="M1027" s="181">
        <f t="shared" ref="M1027:M1030" si="185">K1027-L1027</f>
        <v>11975.000000000002</v>
      </c>
      <c r="N1027" s="326" t="s">
        <v>44</v>
      </c>
    </row>
    <row r="1028" spans="1:14" ht="15.75" customHeight="1" x14ac:dyDescent="0.25">
      <c r="A1028" s="163">
        <v>45994</v>
      </c>
      <c r="B1028" s="184" t="s">
        <v>577</v>
      </c>
      <c r="C1028" s="184">
        <v>32.49</v>
      </c>
      <c r="D1028" s="184">
        <v>9.2200000000000006</v>
      </c>
      <c r="E1028" s="184">
        <f t="shared" si="176"/>
        <v>23.270000000000003</v>
      </c>
      <c r="F1028" s="184" t="s">
        <v>38</v>
      </c>
      <c r="G1028" s="184" t="s">
        <v>902</v>
      </c>
      <c r="H1028" s="139">
        <v>500</v>
      </c>
      <c r="I1028" s="139">
        <f t="shared" si="183"/>
        <v>11635.000000000002</v>
      </c>
      <c r="J1028" s="139">
        <v>0</v>
      </c>
      <c r="K1028" s="139">
        <f t="shared" si="184"/>
        <v>11635.000000000002</v>
      </c>
      <c r="L1028" s="139">
        <v>0</v>
      </c>
      <c r="M1028" s="139">
        <f t="shared" si="185"/>
        <v>11635.000000000002</v>
      </c>
      <c r="N1028" s="327" t="s">
        <v>44</v>
      </c>
    </row>
    <row r="1029" spans="1:14" ht="15.75" customHeight="1" x14ac:dyDescent="0.25">
      <c r="A1029" s="163">
        <v>45994</v>
      </c>
      <c r="B1029" s="184" t="s">
        <v>30</v>
      </c>
      <c r="C1029" s="184">
        <v>32.409999999999997</v>
      </c>
      <c r="D1029" s="184">
        <v>9.2200000000000006</v>
      </c>
      <c r="E1029" s="184">
        <f t="shared" si="176"/>
        <v>23.189999999999998</v>
      </c>
      <c r="F1029" s="184" t="s">
        <v>38</v>
      </c>
      <c r="G1029" s="184" t="s">
        <v>902</v>
      </c>
      <c r="H1029" s="139">
        <v>500</v>
      </c>
      <c r="I1029" s="139">
        <f t="shared" si="183"/>
        <v>11594.999999999998</v>
      </c>
      <c r="J1029" s="139">
        <v>0</v>
      </c>
      <c r="K1029" s="139">
        <f t="shared" si="184"/>
        <v>11594.999999999998</v>
      </c>
      <c r="L1029" s="139">
        <v>0</v>
      </c>
      <c r="M1029" s="139">
        <f t="shared" si="185"/>
        <v>11594.999999999998</v>
      </c>
      <c r="N1029" s="327" t="s">
        <v>44</v>
      </c>
    </row>
    <row r="1030" spans="1:14" ht="15.75" customHeight="1" x14ac:dyDescent="0.25">
      <c r="A1030" s="163">
        <v>45994</v>
      </c>
      <c r="B1030" s="184" t="s">
        <v>88</v>
      </c>
      <c r="C1030" s="184">
        <v>28.5</v>
      </c>
      <c r="D1030" s="184">
        <v>9.7200000000000006</v>
      </c>
      <c r="E1030" s="184">
        <f t="shared" si="176"/>
        <v>18.78</v>
      </c>
      <c r="F1030" s="184" t="s">
        <v>35</v>
      </c>
      <c r="G1030" s="184" t="s">
        <v>902</v>
      </c>
      <c r="H1030" s="139">
        <v>1100</v>
      </c>
      <c r="I1030" s="139">
        <f t="shared" si="183"/>
        <v>20658</v>
      </c>
      <c r="J1030" s="139">
        <v>0</v>
      </c>
      <c r="K1030" s="139">
        <f t="shared" si="184"/>
        <v>20658</v>
      </c>
      <c r="L1030" s="139">
        <v>0</v>
      </c>
      <c r="M1030" s="139">
        <f t="shared" si="185"/>
        <v>20658</v>
      </c>
      <c r="N1030" s="327" t="s">
        <v>44</v>
      </c>
    </row>
    <row r="1031" spans="1:14" ht="15.75" customHeight="1" x14ac:dyDescent="0.25">
      <c r="A1031" s="163">
        <v>45994</v>
      </c>
      <c r="B1031" s="184" t="s">
        <v>51</v>
      </c>
      <c r="C1031" s="184">
        <v>27.67</v>
      </c>
      <c r="D1031" s="184">
        <v>9.27</v>
      </c>
      <c r="E1031" s="184">
        <f t="shared" si="176"/>
        <v>18.400000000000002</v>
      </c>
      <c r="F1031" s="184" t="s">
        <v>35</v>
      </c>
      <c r="G1031" s="184" t="s">
        <v>902</v>
      </c>
      <c r="H1031" s="139">
        <v>1100</v>
      </c>
      <c r="I1031" s="139">
        <f t="shared" ref="I1031:I1033" si="186">H1031*E1031</f>
        <v>20240.000000000004</v>
      </c>
      <c r="J1031" s="139">
        <v>0</v>
      </c>
      <c r="K1031" s="139">
        <f t="shared" ref="K1031:K1033" si="187">I1031+J1031</f>
        <v>20240.000000000004</v>
      </c>
      <c r="L1031" s="139">
        <v>0</v>
      </c>
      <c r="M1031" s="139">
        <f t="shared" ref="M1031:M1033" si="188">K1031-L1031</f>
        <v>20240.000000000004</v>
      </c>
      <c r="N1031" s="327" t="s">
        <v>44</v>
      </c>
    </row>
    <row r="1032" spans="1:14" ht="15.75" customHeight="1" x14ac:dyDescent="0.25">
      <c r="A1032" s="163">
        <v>45994</v>
      </c>
      <c r="B1032" s="184" t="s">
        <v>67</v>
      </c>
      <c r="C1032" s="184">
        <v>27.57</v>
      </c>
      <c r="D1032" s="184">
        <v>9.5</v>
      </c>
      <c r="E1032" s="184">
        <f t="shared" si="176"/>
        <v>18.07</v>
      </c>
      <c r="F1032" s="184" t="s">
        <v>35</v>
      </c>
      <c r="G1032" s="184" t="s">
        <v>902</v>
      </c>
      <c r="H1032" s="139">
        <v>1100</v>
      </c>
      <c r="I1032" s="139">
        <f t="shared" si="186"/>
        <v>19877</v>
      </c>
      <c r="J1032" s="139">
        <v>0</v>
      </c>
      <c r="K1032" s="139">
        <f t="shared" si="187"/>
        <v>19877</v>
      </c>
      <c r="L1032" s="139">
        <v>0</v>
      </c>
      <c r="M1032" s="139">
        <f t="shared" si="188"/>
        <v>19877</v>
      </c>
      <c r="N1032" s="327" t="s">
        <v>44</v>
      </c>
    </row>
    <row r="1033" spans="1:14" ht="15.75" customHeight="1" x14ac:dyDescent="0.25">
      <c r="A1033" s="163">
        <v>45994</v>
      </c>
      <c r="B1033" s="184" t="s">
        <v>577</v>
      </c>
      <c r="C1033" s="184">
        <v>29.77</v>
      </c>
      <c r="D1033" s="184">
        <v>9.85</v>
      </c>
      <c r="E1033" s="184">
        <f t="shared" si="176"/>
        <v>19.920000000000002</v>
      </c>
      <c r="F1033" s="184" t="s">
        <v>23</v>
      </c>
      <c r="G1033" s="184" t="s">
        <v>902</v>
      </c>
      <c r="H1033" s="139">
        <v>1225</v>
      </c>
      <c r="I1033" s="139">
        <f t="shared" si="186"/>
        <v>24402.000000000004</v>
      </c>
      <c r="J1033" s="139">
        <v>0</v>
      </c>
      <c r="K1033" s="139">
        <f t="shared" si="187"/>
        <v>24402.000000000004</v>
      </c>
      <c r="L1033" s="139">
        <v>0</v>
      </c>
      <c r="M1033" s="139">
        <f t="shared" si="188"/>
        <v>24402.000000000004</v>
      </c>
      <c r="N1033" s="327" t="s">
        <v>44</v>
      </c>
    </row>
    <row r="1034" spans="1:14" ht="15.75" customHeight="1" x14ac:dyDescent="0.25">
      <c r="A1034" s="163">
        <v>45994</v>
      </c>
      <c r="B1034" s="184" t="s">
        <v>30</v>
      </c>
      <c r="C1034" s="184">
        <v>27.75</v>
      </c>
      <c r="D1034" s="184">
        <v>9.39</v>
      </c>
      <c r="E1034" s="184">
        <f t="shared" si="176"/>
        <v>18.36</v>
      </c>
      <c r="F1034" s="184" t="s">
        <v>23</v>
      </c>
      <c r="G1034" s="184" t="s">
        <v>902</v>
      </c>
      <c r="H1034" s="139">
        <v>1225</v>
      </c>
      <c r="I1034" s="139">
        <f t="shared" ref="I1034:I1039" si="189">H1034*E1034</f>
        <v>22491</v>
      </c>
      <c r="J1034" s="139">
        <v>0</v>
      </c>
      <c r="K1034" s="139">
        <f t="shared" ref="K1034:K1039" si="190">I1034+J1034</f>
        <v>22491</v>
      </c>
      <c r="L1034" s="139">
        <v>0</v>
      </c>
      <c r="M1034" s="139">
        <f t="shared" ref="M1034:M1039" si="191">K1034-L1034</f>
        <v>22491</v>
      </c>
      <c r="N1034" s="327" t="s">
        <v>44</v>
      </c>
    </row>
    <row r="1035" spans="1:14" ht="15.75" customHeight="1" x14ac:dyDescent="0.25">
      <c r="A1035" s="163">
        <v>45994</v>
      </c>
      <c r="B1035" s="184" t="s">
        <v>88</v>
      </c>
      <c r="C1035" s="184">
        <v>29.76</v>
      </c>
      <c r="D1035" s="184">
        <v>9.52</v>
      </c>
      <c r="E1035" s="184">
        <f t="shared" si="176"/>
        <v>20.240000000000002</v>
      </c>
      <c r="F1035" s="184" t="s">
        <v>23</v>
      </c>
      <c r="G1035" s="184" t="s">
        <v>902</v>
      </c>
      <c r="H1035" s="139">
        <v>1225</v>
      </c>
      <c r="I1035" s="139">
        <f t="shared" si="189"/>
        <v>24794.000000000004</v>
      </c>
      <c r="J1035" s="139">
        <v>0</v>
      </c>
      <c r="K1035" s="139">
        <f t="shared" si="190"/>
        <v>24794.000000000004</v>
      </c>
      <c r="L1035" s="139">
        <v>0</v>
      </c>
      <c r="M1035" s="139">
        <f t="shared" si="191"/>
        <v>24794.000000000004</v>
      </c>
      <c r="N1035" s="327" t="s">
        <v>44</v>
      </c>
    </row>
    <row r="1036" spans="1:14" ht="15.75" customHeight="1" x14ac:dyDescent="0.25">
      <c r="A1036" s="163">
        <v>45994</v>
      </c>
      <c r="B1036" s="184" t="s">
        <v>51</v>
      </c>
      <c r="C1036" s="184">
        <v>29.28</v>
      </c>
      <c r="D1036" s="184">
        <v>9.7899999999999991</v>
      </c>
      <c r="E1036" s="184">
        <f t="shared" si="176"/>
        <v>19.490000000000002</v>
      </c>
      <c r="F1036" s="184" t="s">
        <v>23</v>
      </c>
      <c r="G1036" s="184" t="s">
        <v>902</v>
      </c>
      <c r="H1036" s="139">
        <v>1225</v>
      </c>
      <c r="I1036" s="139">
        <f t="shared" si="189"/>
        <v>23875.250000000004</v>
      </c>
      <c r="J1036" s="139">
        <v>0</v>
      </c>
      <c r="K1036" s="139">
        <f t="shared" si="190"/>
        <v>23875.250000000004</v>
      </c>
      <c r="L1036" s="139">
        <v>0</v>
      </c>
      <c r="M1036" s="139">
        <f t="shared" si="191"/>
        <v>23875.250000000004</v>
      </c>
      <c r="N1036" s="327" t="s">
        <v>44</v>
      </c>
    </row>
    <row r="1037" spans="1:14" ht="15.75" customHeight="1" x14ac:dyDescent="0.25">
      <c r="A1037" s="163">
        <v>45994</v>
      </c>
      <c r="B1037" s="184" t="s">
        <v>67</v>
      </c>
      <c r="C1037" s="184">
        <v>30.76</v>
      </c>
      <c r="D1037" s="184">
        <v>9.5299999999999994</v>
      </c>
      <c r="E1037" s="184">
        <f t="shared" si="176"/>
        <v>21.230000000000004</v>
      </c>
      <c r="F1037" s="184" t="s">
        <v>23</v>
      </c>
      <c r="G1037" s="184" t="s">
        <v>902</v>
      </c>
      <c r="H1037" s="139">
        <v>1225</v>
      </c>
      <c r="I1037" s="139">
        <f t="shared" si="189"/>
        <v>26006.750000000004</v>
      </c>
      <c r="J1037" s="139">
        <v>0</v>
      </c>
      <c r="K1037" s="139">
        <f t="shared" si="190"/>
        <v>26006.750000000004</v>
      </c>
      <c r="L1037" s="139">
        <v>0</v>
      </c>
      <c r="M1037" s="139">
        <f t="shared" si="191"/>
        <v>26006.750000000004</v>
      </c>
      <c r="N1037" s="327" t="s">
        <v>44</v>
      </c>
    </row>
    <row r="1038" spans="1:14" ht="15.75" customHeight="1" x14ac:dyDescent="0.25">
      <c r="A1038" s="163">
        <v>45994</v>
      </c>
      <c r="B1038" s="184" t="s">
        <v>577</v>
      </c>
      <c r="C1038" s="184">
        <v>30.55</v>
      </c>
      <c r="D1038" s="184">
        <v>9.9700000000000006</v>
      </c>
      <c r="E1038" s="184">
        <f t="shared" si="176"/>
        <v>20.58</v>
      </c>
      <c r="F1038" s="184" t="s">
        <v>35</v>
      </c>
      <c r="G1038" s="184" t="s">
        <v>902</v>
      </c>
      <c r="H1038" s="139">
        <v>1100</v>
      </c>
      <c r="I1038" s="139">
        <f t="shared" si="189"/>
        <v>22637.999999999996</v>
      </c>
      <c r="J1038" s="139">
        <v>0</v>
      </c>
      <c r="K1038" s="139">
        <f t="shared" si="190"/>
        <v>22637.999999999996</v>
      </c>
      <c r="L1038" s="139">
        <v>0</v>
      </c>
      <c r="M1038" s="139">
        <f t="shared" si="191"/>
        <v>22637.999999999996</v>
      </c>
      <c r="N1038" s="327" t="s">
        <v>44</v>
      </c>
    </row>
    <row r="1039" spans="1:14" ht="15.75" customHeight="1" x14ac:dyDescent="0.25">
      <c r="A1039" s="163">
        <v>45994</v>
      </c>
      <c r="B1039" s="184" t="s">
        <v>22</v>
      </c>
      <c r="C1039" s="184">
        <v>29.01</v>
      </c>
      <c r="D1039" s="184">
        <v>9.68</v>
      </c>
      <c r="E1039" s="184">
        <f t="shared" si="176"/>
        <v>19.330000000000002</v>
      </c>
      <c r="F1039" s="184" t="s">
        <v>35</v>
      </c>
      <c r="G1039" s="184" t="s">
        <v>902</v>
      </c>
      <c r="H1039" s="139">
        <v>1100</v>
      </c>
      <c r="I1039" s="139">
        <f t="shared" si="189"/>
        <v>21263.000000000004</v>
      </c>
      <c r="J1039" s="139">
        <v>0</v>
      </c>
      <c r="K1039" s="139">
        <f t="shared" si="190"/>
        <v>21263.000000000004</v>
      </c>
      <c r="L1039" s="139">
        <v>0</v>
      </c>
      <c r="M1039" s="139">
        <f t="shared" si="191"/>
        <v>21263.000000000004</v>
      </c>
      <c r="N1039" s="327" t="s">
        <v>44</v>
      </c>
    </row>
    <row r="1040" spans="1:14" ht="15.75" customHeight="1" x14ac:dyDescent="0.25">
      <c r="A1040" s="163">
        <v>45994</v>
      </c>
      <c r="B1040" s="184" t="s">
        <v>30</v>
      </c>
      <c r="C1040" s="184">
        <v>28.97</v>
      </c>
      <c r="D1040" s="184">
        <v>9.59</v>
      </c>
      <c r="E1040" s="184">
        <f t="shared" si="176"/>
        <v>19.38</v>
      </c>
      <c r="F1040" s="184" t="s">
        <v>23</v>
      </c>
      <c r="G1040" s="184" t="s">
        <v>902</v>
      </c>
      <c r="H1040" s="139">
        <v>1225</v>
      </c>
      <c r="I1040" s="139">
        <f t="shared" ref="I1040:I1047" si="192">H1040*E1040</f>
        <v>23740.5</v>
      </c>
      <c r="J1040" s="139">
        <v>0</v>
      </c>
      <c r="K1040" s="139">
        <f t="shared" ref="K1040:K1047" si="193">I1040+J1040</f>
        <v>23740.5</v>
      </c>
      <c r="L1040" s="139">
        <v>0</v>
      </c>
      <c r="M1040" s="139">
        <f t="shared" ref="M1040:M1047" si="194">K1040-L1040</f>
        <v>23740.5</v>
      </c>
      <c r="N1040" s="327" t="s">
        <v>44</v>
      </c>
    </row>
    <row r="1041" spans="1:14" ht="15.75" customHeight="1" x14ac:dyDescent="0.25">
      <c r="A1041" s="163">
        <v>45994</v>
      </c>
      <c r="B1041" s="184" t="s">
        <v>88</v>
      </c>
      <c r="C1041" s="184">
        <v>28.7</v>
      </c>
      <c r="D1041" s="184">
        <v>9.82</v>
      </c>
      <c r="E1041" s="184">
        <f t="shared" si="176"/>
        <v>18.88</v>
      </c>
      <c r="F1041" s="184" t="s">
        <v>23</v>
      </c>
      <c r="G1041" s="184" t="s">
        <v>902</v>
      </c>
      <c r="H1041" s="139">
        <v>1225</v>
      </c>
      <c r="I1041" s="139">
        <f t="shared" si="192"/>
        <v>23128</v>
      </c>
      <c r="J1041" s="139">
        <v>0</v>
      </c>
      <c r="K1041" s="139">
        <f t="shared" si="193"/>
        <v>23128</v>
      </c>
      <c r="L1041" s="139">
        <v>0</v>
      </c>
      <c r="M1041" s="139">
        <f t="shared" si="194"/>
        <v>23128</v>
      </c>
      <c r="N1041" s="327" t="s">
        <v>44</v>
      </c>
    </row>
    <row r="1042" spans="1:14" ht="15.75" customHeight="1" x14ac:dyDescent="0.25">
      <c r="A1042" s="163">
        <v>45994</v>
      </c>
      <c r="B1042" s="184" t="s">
        <v>51</v>
      </c>
      <c r="C1042" s="184">
        <v>29.1</v>
      </c>
      <c r="D1042" s="184">
        <v>9.08</v>
      </c>
      <c r="E1042" s="184">
        <f t="shared" si="176"/>
        <v>20.020000000000003</v>
      </c>
      <c r="F1042" s="184" t="s">
        <v>23</v>
      </c>
      <c r="G1042" s="184" t="s">
        <v>902</v>
      </c>
      <c r="H1042" s="139">
        <v>1225</v>
      </c>
      <c r="I1042" s="139">
        <f t="shared" si="192"/>
        <v>24524.500000000004</v>
      </c>
      <c r="J1042" s="139">
        <v>0</v>
      </c>
      <c r="K1042" s="139">
        <f t="shared" si="193"/>
        <v>24524.500000000004</v>
      </c>
      <c r="L1042" s="139">
        <v>0</v>
      </c>
      <c r="M1042" s="139">
        <f t="shared" si="194"/>
        <v>24524.500000000004</v>
      </c>
      <c r="N1042" s="327" t="s">
        <v>44</v>
      </c>
    </row>
    <row r="1043" spans="1:14" ht="15.75" customHeight="1" x14ac:dyDescent="0.25">
      <c r="A1043" s="163">
        <v>45994</v>
      </c>
      <c r="B1043" s="184" t="s">
        <v>577</v>
      </c>
      <c r="C1043" s="184">
        <v>29.43</v>
      </c>
      <c r="D1043" s="184">
        <v>9.9499999999999993</v>
      </c>
      <c r="E1043" s="184">
        <f t="shared" si="176"/>
        <v>19.48</v>
      </c>
      <c r="F1043" s="184" t="s">
        <v>23</v>
      </c>
      <c r="G1043" s="184" t="s">
        <v>902</v>
      </c>
      <c r="H1043" s="139">
        <v>1225</v>
      </c>
      <c r="I1043" s="139">
        <f t="shared" si="192"/>
        <v>23863</v>
      </c>
      <c r="J1043" s="139">
        <v>0</v>
      </c>
      <c r="K1043" s="139">
        <f t="shared" si="193"/>
        <v>23863</v>
      </c>
      <c r="L1043" s="139">
        <v>0</v>
      </c>
      <c r="M1043" s="139">
        <f t="shared" si="194"/>
        <v>23863</v>
      </c>
      <c r="N1043" s="327" t="s">
        <v>44</v>
      </c>
    </row>
    <row r="1044" spans="1:14" ht="15.75" customHeight="1" thickBot="1" x14ac:dyDescent="0.3">
      <c r="A1044" s="166">
        <v>45994</v>
      </c>
      <c r="B1044" s="206" t="s">
        <v>88</v>
      </c>
      <c r="C1044" s="206">
        <v>29.2</v>
      </c>
      <c r="D1044" s="206">
        <v>9.75</v>
      </c>
      <c r="E1044" s="206">
        <f t="shared" si="176"/>
        <v>19.45</v>
      </c>
      <c r="F1044" s="206" t="s">
        <v>23</v>
      </c>
      <c r="G1044" s="206" t="s">
        <v>902</v>
      </c>
      <c r="H1044" s="146">
        <v>1225</v>
      </c>
      <c r="I1044" s="146">
        <f t="shared" si="192"/>
        <v>23826.25</v>
      </c>
      <c r="J1044" s="146">
        <v>0</v>
      </c>
      <c r="K1044" s="146">
        <f t="shared" si="193"/>
        <v>23826.25</v>
      </c>
      <c r="L1044" s="146">
        <v>0</v>
      </c>
      <c r="M1044" s="146">
        <f t="shared" si="194"/>
        <v>23826.25</v>
      </c>
      <c r="N1044" s="328" t="s">
        <v>44</v>
      </c>
    </row>
    <row r="1045" spans="1:14" ht="15.75" customHeight="1" x14ac:dyDescent="0.25">
      <c r="A1045" s="159">
        <v>45995</v>
      </c>
      <c r="B1045" s="180" t="s">
        <v>67</v>
      </c>
      <c r="C1045" s="180">
        <v>31.16</v>
      </c>
      <c r="D1045" s="180">
        <v>9.65</v>
      </c>
      <c r="E1045" s="180">
        <f t="shared" si="176"/>
        <v>21.509999999999998</v>
      </c>
      <c r="F1045" s="180" t="s">
        <v>26</v>
      </c>
      <c r="G1045" s="318" t="s">
        <v>899</v>
      </c>
      <c r="H1045" s="181">
        <v>1225</v>
      </c>
      <c r="I1045" s="181">
        <f t="shared" si="192"/>
        <v>26349.749999999996</v>
      </c>
      <c r="J1045" s="181">
        <v>0</v>
      </c>
      <c r="K1045" s="181">
        <f t="shared" si="193"/>
        <v>26349.749999999996</v>
      </c>
      <c r="L1045" s="181">
        <v>0</v>
      </c>
      <c r="M1045" s="181">
        <f t="shared" si="194"/>
        <v>26349.749999999996</v>
      </c>
      <c r="N1045" s="320" t="s">
        <v>44</v>
      </c>
    </row>
    <row r="1046" spans="1:14" ht="15.75" customHeight="1" x14ac:dyDescent="0.25">
      <c r="A1046" s="163">
        <v>45995</v>
      </c>
      <c r="B1046" s="184" t="s">
        <v>30</v>
      </c>
      <c r="C1046" s="184">
        <v>26.95</v>
      </c>
      <c r="D1046" s="184">
        <v>9.3699999999999992</v>
      </c>
      <c r="E1046" s="184">
        <f t="shared" si="176"/>
        <v>17.579999999999998</v>
      </c>
      <c r="F1046" s="184" t="s">
        <v>26</v>
      </c>
      <c r="G1046" s="319" t="s">
        <v>899</v>
      </c>
      <c r="H1046" s="139">
        <v>1225</v>
      </c>
      <c r="I1046" s="139">
        <f t="shared" si="192"/>
        <v>21535.499999999996</v>
      </c>
      <c r="J1046" s="139">
        <v>0</v>
      </c>
      <c r="K1046" s="139">
        <f t="shared" si="193"/>
        <v>21535.499999999996</v>
      </c>
      <c r="L1046" s="139">
        <v>0</v>
      </c>
      <c r="M1046" s="139">
        <f t="shared" si="194"/>
        <v>21535.499999999996</v>
      </c>
      <c r="N1046" s="296" t="s">
        <v>44</v>
      </c>
    </row>
    <row r="1047" spans="1:14" ht="15.75" customHeight="1" x14ac:dyDescent="0.25">
      <c r="A1047" s="163">
        <v>45995</v>
      </c>
      <c r="B1047" s="184" t="s">
        <v>47</v>
      </c>
      <c r="C1047" s="184">
        <v>29.91</v>
      </c>
      <c r="D1047" s="184">
        <v>9.83</v>
      </c>
      <c r="E1047" s="184">
        <f t="shared" si="176"/>
        <v>20.079999999999998</v>
      </c>
      <c r="F1047" s="184" t="s">
        <v>23</v>
      </c>
      <c r="G1047" s="319" t="s">
        <v>903</v>
      </c>
      <c r="H1047" s="139">
        <v>1350</v>
      </c>
      <c r="I1047" s="139">
        <f t="shared" si="192"/>
        <v>27107.999999999996</v>
      </c>
      <c r="J1047" s="139">
        <v>0</v>
      </c>
      <c r="K1047" s="139">
        <f t="shared" si="193"/>
        <v>27107.999999999996</v>
      </c>
      <c r="L1047" s="139">
        <v>0</v>
      </c>
      <c r="M1047" s="139">
        <f t="shared" si="194"/>
        <v>27107.999999999996</v>
      </c>
      <c r="N1047" s="296" t="s">
        <v>44</v>
      </c>
    </row>
    <row r="1048" spans="1:14" ht="15.75" customHeight="1" thickBot="1" x14ac:dyDescent="0.3">
      <c r="A1048" s="166">
        <v>45995</v>
      </c>
      <c r="B1048" s="206" t="s">
        <v>577</v>
      </c>
      <c r="C1048" s="206">
        <v>21.17</v>
      </c>
      <c r="D1048" s="206">
        <v>9.73</v>
      </c>
      <c r="E1048" s="206">
        <f t="shared" si="176"/>
        <v>11.440000000000001</v>
      </c>
      <c r="F1048" s="206" t="s">
        <v>23</v>
      </c>
      <c r="G1048" s="325" t="s">
        <v>37</v>
      </c>
      <c r="H1048" s="146">
        <v>1350</v>
      </c>
      <c r="I1048" s="146">
        <f t="shared" ref="I1048:I1049" si="195">H1048*E1048</f>
        <v>15444.000000000002</v>
      </c>
      <c r="J1048" s="146">
        <v>700</v>
      </c>
      <c r="K1048" s="146">
        <f t="shared" ref="K1048:K1049" si="196">I1048+J1048</f>
        <v>16144.000000000002</v>
      </c>
      <c r="L1048" s="146">
        <v>44</v>
      </c>
      <c r="M1048" s="146">
        <f t="shared" ref="M1048:M1049" si="197">K1048-L1048</f>
        <v>16100.000000000002</v>
      </c>
      <c r="N1048" s="328" t="s">
        <v>20</v>
      </c>
    </row>
    <row r="1049" spans="1:14" ht="15.75" customHeight="1" x14ac:dyDescent="0.25">
      <c r="A1049" s="159">
        <v>45996</v>
      </c>
      <c r="B1049" s="180" t="s">
        <v>577</v>
      </c>
      <c r="C1049" s="180">
        <v>28.78</v>
      </c>
      <c r="D1049" s="180">
        <v>9.68</v>
      </c>
      <c r="E1049" s="180">
        <f t="shared" si="176"/>
        <v>19.100000000000001</v>
      </c>
      <c r="F1049" s="180" t="s">
        <v>23</v>
      </c>
      <c r="G1049" s="318" t="s">
        <v>904</v>
      </c>
      <c r="H1049" s="181">
        <v>1400</v>
      </c>
      <c r="I1049" s="181">
        <f t="shared" si="195"/>
        <v>26740.000000000004</v>
      </c>
      <c r="J1049" s="181">
        <v>2500</v>
      </c>
      <c r="K1049" s="181">
        <f t="shared" si="196"/>
        <v>29240.000000000004</v>
      </c>
      <c r="L1049" s="181">
        <v>40</v>
      </c>
      <c r="M1049" s="181">
        <f t="shared" si="197"/>
        <v>29200.000000000004</v>
      </c>
      <c r="N1049" s="326" t="s">
        <v>20</v>
      </c>
    </row>
    <row r="1050" spans="1:14" ht="15.75" customHeight="1" x14ac:dyDescent="0.25">
      <c r="A1050" s="163">
        <v>45996</v>
      </c>
      <c r="B1050" s="184" t="s">
        <v>30</v>
      </c>
      <c r="C1050" s="184">
        <v>27.35</v>
      </c>
      <c r="D1050" s="184">
        <v>9.6199999999999992</v>
      </c>
      <c r="E1050" s="184">
        <f t="shared" si="176"/>
        <v>17.730000000000004</v>
      </c>
      <c r="F1050" s="184" t="s">
        <v>26</v>
      </c>
      <c r="G1050" s="319" t="s">
        <v>899</v>
      </c>
      <c r="H1050" s="139">
        <v>1225</v>
      </c>
      <c r="I1050" s="139">
        <f t="shared" ref="I1050:I1055" si="198">H1050*E1050</f>
        <v>21719.250000000004</v>
      </c>
      <c r="J1050" s="139">
        <v>0</v>
      </c>
      <c r="K1050" s="139">
        <f t="shared" ref="K1050:K1055" si="199">I1050+J1050</f>
        <v>21719.250000000004</v>
      </c>
      <c r="L1050" s="139">
        <v>0</v>
      </c>
      <c r="M1050" s="139">
        <f t="shared" ref="M1050:M1055" si="200">K1050-L1050</f>
        <v>21719.250000000004</v>
      </c>
      <c r="N1050" s="296" t="s">
        <v>44</v>
      </c>
    </row>
    <row r="1051" spans="1:14" ht="15.75" customHeight="1" x14ac:dyDescent="0.25">
      <c r="A1051" s="163">
        <v>45996</v>
      </c>
      <c r="B1051" s="184" t="s">
        <v>67</v>
      </c>
      <c r="C1051" s="184">
        <v>28.91</v>
      </c>
      <c r="D1051" s="184">
        <v>9.5</v>
      </c>
      <c r="E1051" s="184">
        <f t="shared" si="176"/>
        <v>19.41</v>
      </c>
      <c r="F1051" s="184" t="s">
        <v>26</v>
      </c>
      <c r="G1051" s="319" t="s">
        <v>899</v>
      </c>
      <c r="H1051" s="139">
        <v>1225</v>
      </c>
      <c r="I1051" s="139">
        <f t="shared" si="198"/>
        <v>23777.25</v>
      </c>
      <c r="J1051" s="139">
        <v>0</v>
      </c>
      <c r="K1051" s="139">
        <f t="shared" si="199"/>
        <v>23777.25</v>
      </c>
      <c r="L1051" s="139">
        <v>0</v>
      </c>
      <c r="M1051" s="139">
        <f t="shared" si="200"/>
        <v>23777.25</v>
      </c>
      <c r="N1051" s="296" t="s">
        <v>44</v>
      </c>
    </row>
    <row r="1052" spans="1:14" ht="15.75" customHeight="1" x14ac:dyDescent="0.25">
      <c r="A1052" s="163">
        <v>45996</v>
      </c>
      <c r="B1052" s="184" t="s">
        <v>47</v>
      </c>
      <c r="C1052" s="184">
        <v>31.91</v>
      </c>
      <c r="D1052" s="184">
        <v>9.08</v>
      </c>
      <c r="E1052" s="184">
        <f t="shared" si="176"/>
        <v>22.83</v>
      </c>
      <c r="F1052" s="184" t="s">
        <v>38</v>
      </c>
      <c r="G1052" s="319" t="s">
        <v>903</v>
      </c>
      <c r="H1052" s="139">
        <v>500</v>
      </c>
      <c r="I1052" s="139">
        <f t="shared" si="198"/>
        <v>11415</v>
      </c>
      <c r="J1052" s="139">
        <v>0</v>
      </c>
      <c r="K1052" s="139">
        <f t="shared" si="199"/>
        <v>11415</v>
      </c>
      <c r="L1052" s="139">
        <v>0</v>
      </c>
      <c r="M1052" s="139">
        <f t="shared" si="200"/>
        <v>11415</v>
      </c>
      <c r="N1052" s="296" t="s">
        <v>44</v>
      </c>
    </row>
    <row r="1053" spans="1:14" ht="15.75" customHeight="1" x14ac:dyDescent="0.25">
      <c r="A1053" s="163">
        <v>45996</v>
      </c>
      <c r="B1053" s="184" t="s">
        <v>22</v>
      </c>
      <c r="C1053" s="184">
        <v>24.17</v>
      </c>
      <c r="D1053" s="184">
        <v>9.76</v>
      </c>
      <c r="E1053" s="184">
        <f t="shared" si="176"/>
        <v>14.410000000000002</v>
      </c>
      <c r="F1053" s="184" t="s">
        <v>23</v>
      </c>
      <c r="G1053" s="319" t="s">
        <v>725</v>
      </c>
      <c r="H1053" s="139">
        <v>1300</v>
      </c>
      <c r="I1053" s="139">
        <f t="shared" si="198"/>
        <v>18733.000000000004</v>
      </c>
      <c r="J1053" s="139">
        <v>0</v>
      </c>
      <c r="K1053" s="139">
        <f t="shared" si="199"/>
        <v>18733.000000000004</v>
      </c>
      <c r="L1053" s="139">
        <v>0</v>
      </c>
      <c r="M1053" s="139">
        <f t="shared" si="200"/>
        <v>18733.000000000004</v>
      </c>
      <c r="N1053" s="296" t="s">
        <v>44</v>
      </c>
    </row>
    <row r="1054" spans="1:14" ht="15.75" customHeight="1" x14ac:dyDescent="0.25">
      <c r="A1054" s="163">
        <v>45996</v>
      </c>
      <c r="B1054" s="184" t="s">
        <v>47</v>
      </c>
      <c r="C1054" s="184">
        <v>31.82</v>
      </c>
      <c r="D1054" s="184">
        <v>9.6300000000000008</v>
      </c>
      <c r="E1054" s="184">
        <f t="shared" si="176"/>
        <v>22.189999999999998</v>
      </c>
      <c r="F1054" s="184" t="s">
        <v>23</v>
      </c>
      <c r="G1054" s="319" t="s">
        <v>903</v>
      </c>
      <c r="H1054" s="139">
        <v>1350</v>
      </c>
      <c r="I1054" s="139">
        <f t="shared" si="198"/>
        <v>29956.499999999996</v>
      </c>
      <c r="J1054" s="139">
        <v>0</v>
      </c>
      <c r="K1054" s="139">
        <f t="shared" si="199"/>
        <v>29956.499999999996</v>
      </c>
      <c r="L1054" s="139">
        <v>0</v>
      </c>
      <c r="M1054" s="139">
        <f t="shared" si="200"/>
        <v>29956.499999999996</v>
      </c>
      <c r="N1054" s="296" t="s">
        <v>44</v>
      </c>
    </row>
    <row r="1055" spans="1:14" ht="15.75" customHeight="1" thickBot="1" x14ac:dyDescent="0.3">
      <c r="A1055" s="166">
        <v>45996</v>
      </c>
      <c r="B1055" s="206" t="s">
        <v>47</v>
      </c>
      <c r="C1055" s="206">
        <v>29.84</v>
      </c>
      <c r="D1055" s="206">
        <v>9.57</v>
      </c>
      <c r="E1055" s="206">
        <f t="shared" si="176"/>
        <v>20.27</v>
      </c>
      <c r="F1055" s="206" t="s">
        <v>35</v>
      </c>
      <c r="G1055" s="325" t="s">
        <v>903</v>
      </c>
      <c r="H1055" s="146">
        <v>1200</v>
      </c>
      <c r="I1055" s="146">
        <f t="shared" si="198"/>
        <v>24324</v>
      </c>
      <c r="J1055" s="146">
        <v>0</v>
      </c>
      <c r="K1055" s="146">
        <f t="shared" si="199"/>
        <v>24324</v>
      </c>
      <c r="L1055" s="146">
        <v>0</v>
      </c>
      <c r="M1055" s="146">
        <f t="shared" si="200"/>
        <v>24324</v>
      </c>
      <c r="N1055" s="329" t="s">
        <v>44</v>
      </c>
    </row>
    <row r="1056" spans="1:14" ht="15.75" customHeight="1" x14ac:dyDescent="0.25">
      <c r="A1056" s="159">
        <v>45997</v>
      </c>
      <c r="B1056" s="180" t="s">
        <v>30</v>
      </c>
      <c r="C1056" s="180">
        <v>31.1</v>
      </c>
      <c r="D1056" s="180">
        <v>9.4700000000000006</v>
      </c>
      <c r="E1056" s="180">
        <f t="shared" si="176"/>
        <v>21.630000000000003</v>
      </c>
      <c r="F1056" s="180" t="s">
        <v>26</v>
      </c>
      <c r="G1056" s="318" t="s">
        <v>899</v>
      </c>
      <c r="H1056" s="181">
        <v>1225</v>
      </c>
      <c r="I1056" s="181">
        <f t="shared" ref="I1056:I1059" si="201">H1056*E1056</f>
        <v>26496.750000000004</v>
      </c>
      <c r="J1056" s="181">
        <v>0</v>
      </c>
      <c r="K1056" s="181">
        <f t="shared" ref="K1056:K1059" si="202">I1056+J1056</f>
        <v>26496.750000000004</v>
      </c>
      <c r="L1056" s="181">
        <v>0</v>
      </c>
      <c r="M1056" s="181">
        <f t="shared" ref="M1056:M1059" si="203">K1056-L1056</f>
        <v>26496.750000000004</v>
      </c>
      <c r="N1056" s="320" t="s">
        <v>44</v>
      </c>
    </row>
    <row r="1057" spans="1:14" ht="15.75" customHeight="1" x14ac:dyDescent="0.25">
      <c r="A1057" s="163">
        <v>45997</v>
      </c>
      <c r="B1057" s="184" t="s">
        <v>67</v>
      </c>
      <c r="C1057" s="184">
        <v>33.56</v>
      </c>
      <c r="D1057" s="184">
        <v>9.34</v>
      </c>
      <c r="E1057" s="184">
        <f t="shared" si="176"/>
        <v>24.220000000000002</v>
      </c>
      <c r="F1057" s="184" t="s">
        <v>26</v>
      </c>
      <c r="G1057" s="319" t="s">
        <v>899</v>
      </c>
      <c r="H1057" s="139">
        <v>1225</v>
      </c>
      <c r="I1057" s="139">
        <f t="shared" si="201"/>
        <v>29669.500000000004</v>
      </c>
      <c r="J1057" s="139">
        <v>0</v>
      </c>
      <c r="K1057" s="139">
        <f t="shared" si="202"/>
        <v>29669.500000000004</v>
      </c>
      <c r="L1057" s="139">
        <v>0</v>
      </c>
      <c r="M1057" s="139">
        <f t="shared" si="203"/>
        <v>29669.500000000004</v>
      </c>
      <c r="N1057" s="296" t="s">
        <v>44</v>
      </c>
    </row>
    <row r="1058" spans="1:14" ht="15.75" customHeight="1" thickBot="1" x14ac:dyDescent="0.3">
      <c r="A1058" s="166">
        <v>45997</v>
      </c>
      <c r="B1058" s="206" t="s">
        <v>67</v>
      </c>
      <c r="C1058" s="206">
        <v>29.93</v>
      </c>
      <c r="D1058" s="206">
        <v>9.92</v>
      </c>
      <c r="E1058" s="206">
        <f t="shared" si="176"/>
        <v>20.009999999999998</v>
      </c>
      <c r="F1058" s="206" t="s">
        <v>35</v>
      </c>
      <c r="G1058" s="325" t="s">
        <v>905</v>
      </c>
      <c r="H1058" s="146">
        <v>1250</v>
      </c>
      <c r="I1058" s="146">
        <f t="shared" si="201"/>
        <v>25012.499999999996</v>
      </c>
      <c r="J1058" s="146">
        <v>3500</v>
      </c>
      <c r="K1058" s="146">
        <f t="shared" si="202"/>
        <v>28512.499999999996</v>
      </c>
      <c r="L1058" s="146">
        <v>0</v>
      </c>
      <c r="M1058" s="146">
        <f t="shared" si="203"/>
        <v>28512.499999999996</v>
      </c>
      <c r="N1058" s="328" t="s">
        <v>25</v>
      </c>
    </row>
    <row r="1059" spans="1:14" ht="15.75" customHeight="1" x14ac:dyDescent="0.25">
      <c r="A1059" s="159">
        <v>45998</v>
      </c>
      <c r="B1059" s="180" t="s">
        <v>67</v>
      </c>
      <c r="C1059" s="180">
        <v>28.51</v>
      </c>
      <c r="D1059" s="180">
        <v>9.41</v>
      </c>
      <c r="E1059" s="180">
        <f t="shared" si="176"/>
        <v>19.100000000000001</v>
      </c>
      <c r="F1059" s="180" t="s">
        <v>18</v>
      </c>
      <c r="G1059" s="318" t="s">
        <v>902</v>
      </c>
      <c r="H1059" s="181">
        <v>1100</v>
      </c>
      <c r="I1059" s="181">
        <f t="shared" si="201"/>
        <v>21010</v>
      </c>
      <c r="J1059" s="181">
        <v>0</v>
      </c>
      <c r="K1059" s="181">
        <f t="shared" si="202"/>
        <v>21010</v>
      </c>
      <c r="L1059" s="181">
        <v>0</v>
      </c>
      <c r="M1059" s="181">
        <f t="shared" si="203"/>
        <v>21010</v>
      </c>
      <c r="N1059" s="182" t="s">
        <v>44</v>
      </c>
    </row>
    <row r="1060" spans="1:14" ht="15.75" customHeight="1" x14ac:dyDescent="0.25">
      <c r="A1060" s="163">
        <v>45998</v>
      </c>
      <c r="B1060" s="184" t="s">
        <v>22</v>
      </c>
      <c r="C1060" s="184">
        <v>30.17</v>
      </c>
      <c r="D1060" s="184">
        <v>9.6300000000000008</v>
      </c>
      <c r="E1060" s="184">
        <f t="shared" si="176"/>
        <v>20.54</v>
      </c>
      <c r="F1060" s="184" t="s">
        <v>18</v>
      </c>
      <c r="G1060" s="319" t="s">
        <v>902</v>
      </c>
      <c r="H1060" s="139">
        <v>1100</v>
      </c>
      <c r="I1060" s="139">
        <f t="shared" ref="I1060:I1063" si="204">H1060*E1060</f>
        <v>22594</v>
      </c>
      <c r="J1060" s="139">
        <v>0</v>
      </c>
      <c r="K1060" s="139">
        <f t="shared" ref="K1060:K1063" si="205">I1060+J1060</f>
        <v>22594</v>
      </c>
      <c r="L1060" s="139">
        <v>0</v>
      </c>
      <c r="M1060" s="139">
        <f t="shared" ref="M1060:M1063" si="206">K1060-L1060</f>
        <v>22594</v>
      </c>
      <c r="N1060" s="185" t="s">
        <v>44</v>
      </c>
    </row>
    <row r="1061" spans="1:14" ht="15.75" customHeight="1" x14ac:dyDescent="0.25">
      <c r="A1061" s="163">
        <v>45998</v>
      </c>
      <c r="B1061" s="184" t="s">
        <v>30</v>
      </c>
      <c r="C1061" s="184">
        <v>29.11</v>
      </c>
      <c r="D1061" s="184">
        <v>9.56</v>
      </c>
      <c r="E1061" s="184">
        <f t="shared" si="176"/>
        <v>19.549999999999997</v>
      </c>
      <c r="F1061" s="184" t="s">
        <v>18</v>
      </c>
      <c r="G1061" s="319" t="s">
        <v>902</v>
      </c>
      <c r="H1061" s="139">
        <v>1100</v>
      </c>
      <c r="I1061" s="139">
        <f t="shared" si="204"/>
        <v>21504.999999999996</v>
      </c>
      <c r="J1061" s="139">
        <v>0</v>
      </c>
      <c r="K1061" s="139">
        <f t="shared" si="205"/>
        <v>21504.999999999996</v>
      </c>
      <c r="L1061" s="139">
        <v>0</v>
      </c>
      <c r="M1061" s="139">
        <f t="shared" si="206"/>
        <v>21504.999999999996</v>
      </c>
      <c r="N1061" s="185" t="s">
        <v>44</v>
      </c>
    </row>
    <row r="1062" spans="1:14" ht="15.75" customHeight="1" x14ac:dyDescent="0.25">
      <c r="A1062" s="163">
        <v>45998</v>
      </c>
      <c r="B1062" s="184" t="s">
        <v>49</v>
      </c>
      <c r="C1062" s="184">
        <v>29.03</v>
      </c>
      <c r="D1062" s="184">
        <v>9.3000000000000007</v>
      </c>
      <c r="E1062" s="184">
        <f t="shared" si="176"/>
        <v>19.73</v>
      </c>
      <c r="F1062" s="184" t="s">
        <v>18</v>
      </c>
      <c r="G1062" s="319" t="s">
        <v>902</v>
      </c>
      <c r="H1062" s="139">
        <v>1100</v>
      </c>
      <c r="I1062" s="139">
        <f t="shared" si="204"/>
        <v>21703</v>
      </c>
      <c r="J1062" s="139">
        <v>0</v>
      </c>
      <c r="K1062" s="139">
        <f t="shared" si="205"/>
        <v>21703</v>
      </c>
      <c r="L1062" s="139">
        <v>0</v>
      </c>
      <c r="M1062" s="139">
        <f t="shared" si="206"/>
        <v>21703</v>
      </c>
      <c r="N1062" s="185" t="s">
        <v>44</v>
      </c>
    </row>
    <row r="1063" spans="1:14" ht="15.75" customHeight="1" x14ac:dyDescent="0.25">
      <c r="A1063" s="163">
        <v>45998</v>
      </c>
      <c r="B1063" s="184" t="s">
        <v>67</v>
      </c>
      <c r="C1063" s="184">
        <v>31.09</v>
      </c>
      <c r="D1063" s="184">
        <v>9.56</v>
      </c>
      <c r="E1063" s="184">
        <f t="shared" si="176"/>
        <v>21.53</v>
      </c>
      <c r="F1063" s="184" t="s">
        <v>18</v>
      </c>
      <c r="G1063" s="319" t="s">
        <v>902</v>
      </c>
      <c r="H1063" s="139">
        <v>1100</v>
      </c>
      <c r="I1063" s="139">
        <f t="shared" si="204"/>
        <v>23683</v>
      </c>
      <c r="J1063" s="139">
        <v>0</v>
      </c>
      <c r="K1063" s="139">
        <f t="shared" si="205"/>
        <v>23683</v>
      </c>
      <c r="L1063" s="139">
        <v>0</v>
      </c>
      <c r="M1063" s="139">
        <f t="shared" si="206"/>
        <v>23683</v>
      </c>
      <c r="N1063" s="185" t="s">
        <v>44</v>
      </c>
    </row>
    <row r="1064" spans="1:14" ht="15.75" customHeight="1" x14ac:dyDescent="0.25">
      <c r="A1064" s="163">
        <v>45998</v>
      </c>
      <c r="B1064" s="184" t="s">
        <v>22</v>
      </c>
      <c r="C1064" s="184">
        <v>33.06</v>
      </c>
      <c r="D1064" s="184">
        <v>9.73</v>
      </c>
      <c r="E1064" s="184">
        <f t="shared" si="176"/>
        <v>23.330000000000002</v>
      </c>
      <c r="F1064" s="184" t="s">
        <v>38</v>
      </c>
      <c r="G1064" s="319" t="s">
        <v>902</v>
      </c>
      <c r="H1064" s="139">
        <v>500</v>
      </c>
      <c r="I1064" s="139">
        <f t="shared" ref="I1064" si="207">H1064*E1064</f>
        <v>11665.000000000002</v>
      </c>
      <c r="J1064" s="139">
        <v>0</v>
      </c>
      <c r="K1064" s="139">
        <f t="shared" ref="K1064" si="208">I1064+J1064</f>
        <v>11665.000000000002</v>
      </c>
      <c r="L1064" s="139">
        <v>0</v>
      </c>
      <c r="M1064" s="139">
        <f t="shared" ref="M1064" si="209">K1064-L1064</f>
        <v>11665.000000000002</v>
      </c>
      <c r="N1064" s="185" t="s">
        <v>44</v>
      </c>
    </row>
    <row r="1065" spans="1:14" ht="15.75" customHeight="1" x14ac:dyDescent="0.25">
      <c r="A1065" s="163">
        <v>45998</v>
      </c>
      <c r="B1065" s="184" t="s">
        <v>30</v>
      </c>
      <c r="C1065" s="184">
        <v>33.369999999999997</v>
      </c>
      <c r="D1065" s="184">
        <v>9.26</v>
      </c>
      <c r="E1065" s="184">
        <f t="shared" si="176"/>
        <v>24.11</v>
      </c>
      <c r="F1065" s="184" t="s">
        <v>38</v>
      </c>
      <c r="G1065" s="319" t="s">
        <v>902</v>
      </c>
      <c r="H1065" s="139">
        <v>500</v>
      </c>
      <c r="I1065" s="139">
        <f t="shared" ref="I1065" si="210">H1065*E1065</f>
        <v>12055</v>
      </c>
      <c r="J1065" s="139">
        <v>0</v>
      </c>
      <c r="K1065" s="139">
        <f t="shared" ref="K1065" si="211">I1065+J1065</f>
        <v>12055</v>
      </c>
      <c r="L1065" s="139">
        <v>0</v>
      </c>
      <c r="M1065" s="139">
        <f t="shared" ref="M1065" si="212">K1065-L1065</f>
        <v>12055</v>
      </c>
      <c r="N1065" s="185" t="s">
        <v>44</v>
      </c>
    </row>
    <row r="1066" spans="1:14" ht="15.75" customHeight="1" x14ac:dyDescent="0.25">
      <c r="A1066" s="163">
        <v>45998</v>
      </c>
      <c r="B1066" s="184" t="s">
        <v>49</v>
      </c>
      <c r="C1066" s="184">
        <v>33.07</v>
      </c>
      <c r="D1066" s="184">
        <v>9.8800000000000008</v>
      </c>
      <c r="E1066" s="184">
        <f t="shared" si="176"/>
        <v>23.189999999999998</v>
      </c>
      <c r="F1066" s="184" t="s">
        <v>38</v>
      </c>
      <c r="G1066" s="319" t="s">
        <v>902</v>
      </c>
      <c r="H1066" s="139">
        <v>500</v>
      </c>
      <c r="I1066" s="139">
        <f t="shared" ref="I1066:I1071" si="213">H1066*E1066</f>
        <v>11594.999999999998</v>
      </c>
      <c r="J1066" s="139">
        <v>0</v>
      </c>
      <c r="K1066" s="139">
        <f t="shared" ref="K1066:K1071" si="214">I1066+J1066</f>
        <v>11594.999999999998</v>
      </c>
      <c r="L1066" s="139">
        <v>0</v>
      </c>
      <c r="M1066" s="139">
        <f t="shared" ref="M1066:M1071" si="215">K1066-L1066</f>
        <v>11594.999999999998</v>
      </c>
      <c r="N1066" s="185" t="s">
        <v>44</v>
      </c>
    </row>
    <row r="1067" spans="1:14" ht="15" customHeight="1" x14ac:dyDescent="0.25">
      <c r="A1067" s="163">
        <v>45998</v>
      </c>
      <c r="B1067" s="184" t="s">
        <v>67</v>
      </c>
      <c r="C1067" s="184">
        <v>31.27</v>
      </c>
      <c r="D1067" s="184">
        <v>9.4</v>
      </c>
      <c r="E1067" s="184">
        <f t="shared" si="176"/>
        <v>21.869999999999997</v>
      </c>
      <c r="F1067" s="184" t="s">
        <v>35</v>
      </c>
      <c r="G1067" s="319" t="s">
        <v>902</v>
      </c>
      <c r="H1067" s="139">
        <v>1100</v>
      </c>
      <c r="I1067" s="139">
        <f t="shared" si="213"/>
        <v>24056.999999999996</v>
      </c>
      <c r="J1067" s="139">
        <v>0</v>
      </c>
      <c r="K1067" s="139">
        <f t="shared" si="214"/>
        <v>24056.999999999996</v>
      </c>
      <c r="L1067" s="139">
        <v>0</v>
      </c>
      <c r="M1067" s="139">
        <f t="shared" si="215"/>
        <v>24056.999999999996</v>
      </c>
      <c r="N1067" s="185" t="s">
        <v>44</v>
      </c>
    </row>
    <row r="1068" spans="1:14" ht="15" customHeight="1" x14ac:dyDescent="0.25">
      <c r="A1068" s="163">
        <v>45998</v>
      </c>
      <c r="B1068" s="184" t="s">
        <v>30</v>
      </c>
      <c r="C1068" s="184">
        <v>26.83</v>
      </c>
      <c r="D1068" s="184">
        <v>9.57</v>
      </c>
      <c r="E1068" s="184">
        <f t="shared" si="176"/>
        <v>17.259999999999998</v>
      </c>
      <c r="F1068" s="184" t="s">
        <v>35</v>
      </c>
      <c r="G1068" s="319" t="s">
        <v>902</v>
      </c>
      <c r="H1068" s="139">
        <v>1100</v>
      </c>
      <c r="I1068" s="139">
        <f t="shared" si="213"/>
        <v>18985.999999999996</v>
      </c>
      <c r="J1068" s="139">
        <v>0</v>
      </c>
      <c r="K1068" s="139">
        <f t="shared" si="214"/>
        <v>18985.999999999996</v>
      </c>
      <c r="L1068" s="139">
        <v>0</v>
      </c>
      <c r="M1068" s="139">
        <f t="shared" si="215"/>
        <v>18985.999999999996</v>
      </c>
      <c r="N1068" s="185" t="s">
        <v>44</v>
      </c>
    </row>
    <row r="1069" spans="1:14" ht="15" customHeight="1" x14ac:dyDescent="0.25">
      <c r="A1069" s="163">
        <v>45998</v>
      </c>
      <c r="B1069" s="184" t="s">
        <v>22</v>
      </c>
      <c r="C1069" s="184">
        <v>28.21</v>
      </c>
      <c r="D1069" s="184">
        <v>9.66</v>
      </c>
      <c r="E1069" s="184">
        <f t="shared" si="176"/>
        <v>18.55</v>
      </c>
      <c r="F1069" s="184" t="s">
        <v>35</v>
      </c>
      <c r="G1069" s="319" t="s">
        <v>902</v>
      </c>
      <c r="H1069" s="139">
        <v>1100</v>
      </c>
      <c r="I1069" s="139">
        <f t="shared" si="213"/>
        <v>20405</v>
      </c>
      <c r="J1069" s="139">
        <v>0</v>
      </c>
      <c r="K1069" s="139">
        <f t="shared" si="214"/>
        <v>20405</v>
      </c>
      <c r="L1069" s="139">
        <v>0</v>
      </c>
      <c r="M1069" s="139">
        <f t="shared" si="215"/>
        <v>20405</v>
      </c>
      <c r="N1069" s="185" t="s">
        <v>44</v>
      </c>
    </row>
    <row r="1070" spans="1:14" ht="15" customHeight="1" x14ac:dyDescent="0.25">
      <c r="A1070" s="163">
        <v>45998</v>
      </c>
      <c r="B1070" s="184" t="s">
        <v>49</v>
      </c>
      <c r="C1070" s="184">
        <v>29.15</v>
      </c>
      <c r="D1070" s="184">
        <v>8.9600000000000009</v>
      </c>
      <c r="E1070" s="184">
        <f t="shared" si="176"/>
        <v>20.189999999999998</v>
      </c>
      <c r="F1070" s="184" t="s">
        <v>35</v>
      </c>
      <c r="G1070" s="319" t="s">
        <v>902</v>
      </c>
      <c r="H1070" s="139">
        <v>1100</v>
      </c>
      <c r="I1070" s="139">
        <f t="shared" si="213"/>
        <v>22208.999999999996</v>
      </c>
      <c r="J1070" s="139">
        <v>0</v>
      </c>
      <c r="K1070" s="139">
        <f t="shared" si="214"/>
        <v>22208.999999999996</v>
      </c>
      <c r="L1070" s="139">
        <v>0</v>
      </c>
      <c r="M1070" s="139">
        <f t="shared" si="215"/>
        <v>22208.999999999996</v>
      </c>
      <c r="N1070" s="185" t="s">
        <v>44</v>
      </c>
    </row>
    <row r="1071" spans="1:14" ht="15" customHeight="1" x14ac:dyDescent="0.25">
      <c r="A1071" s="163">
        <v>45998</v>
      </c>
      <c r="B1071" s="184" t="s">
        <v>67</v>
      </c>
      <c r="C1071" s="184">
        <v>31.57</v>
      </c>
      <c r="D1071" s="184">
        <v>9.64</v>
      </c>
      <c r="E1071" s="184">
        <f t="shared" si="176"/>
        <v>21.93</v>
      </c>
      <c r="F1071" s="184" t="s">
        <v>35</v>
      </c>
      <c r="G1071" s="319" t="s">
        <v>902</v>
      </c>
      <c r="H1071" s="139">
        <v>1100</v>
      </c>
      <c r="I1071" s="139">
        <f t="shared" si="213"/>
        <v>24123</v>
      </c>
      <c r="J1071" s="139">
        <v>0</v>
      </c>
      <c r="K1071" s="139">
        <f t="shared" si="214"/>
        <v>24123</v>
      </c>
      <c r="L1071" s="139">
        <v>0</v>
      </c>
      <c r="M1071" s="139">
        <f t="shared" si="215"/>
        <v>24123</v>
      </c>
      <c r="N1071" s="185" t="s">
        <v>44</v>
      </c>
    </row>
    <row r="1072" spans="1:14" ht="15" customHeight="1" x14ac:dyDescent="0.25">
      <c r="A1072" s="163">
        <v>45998</v>
      </c>
      <c r="B1072" s="184" t="s">
        <v>30</v>
      </c>
      <c r="C1072" s="184">
        <v>30.12</v>
      </c>
      <c r="D1072" s="184">
        <v>9.4499999999999993</v>
      </c>
      <c r="E1072" s="184">
        <f t="shared" si="176"/>
        <v>20.67</v>
      </c>
      <c r="F1072" s="184" t="s">
        <v>38</v>
      </c>
      <c r="G1072" s="319" t="s">
        <v>902</v>
      </c>
      <c r="H1072" s="139">
        <v>500</v>
      </c>
      <c r="I1072" s="139">
        <f t="shared" ref="I1072:I1077" si="216">H1072*E1072</f>
        <v>10335</v>
      </c>
      <c r="J1072" s="139">
        <v>0</v>
      </c>
      <c r="K1072" s="139">
        <f t="shared" ref="K1072:K1077" si="217">I1072+J1072</f>
        <v>10335</v>
      </c>
      <c r="L1072" s="139">
        <v>0</v>
      </c>
      <c r="M1072" s="139">
        <f t="shared" ref="M1072:M1077" si="218">K1072-L1072</f>
        <v>10335</v>
      </c>
      <c r="N1072" s="185" t="s">
        <v>44</v>
      </c>
    </row>
    <row r="1073" spans="1:14" ht="15" customHeight="1" thickBot="1" x14ac:dyDescent="0.3">
      <c r="A1073" s="166">
        <v>45998</v>
      </c>
      <c r="B1073" s="206" t="s">
        <v>49</v>
      </c>
      <c r="C1073" s="206">
        <v>28.55</v>
      </c>
      <c r="D1073" s="206">
        <v>9.24</v>
      </c>
      <c r="E1073" s="206">
        <f t="shared" si="176"/>
        <v>19.310000000000002</v>
      </c>
      <c r="F1073" s="206" t="s">
        <v>38</v>
      </c>
      <c r="G1073" s="325" t="s">
        <v>902</v>
      </c>
      <c r="H1073" s="146">
        <v>500</v>
      </c>
      <c r="I1073" s="146">
        <f t="shared" si="216"/>
        <v>9655.0000000000018</v>
      </c>
      <c r="J1073" s="146">
        <v>0</v>
      </c>
      <c r="K1073" s="146">
        <f t="shared" si="217"/>
        <v>9655.0000000000018</v>
      </c>
      <c r="L1073" s="146">
        <v>0</v>
      </c>
      <c r="M1073" s="146">
        <f t="shared" si="218"/>
        <v>9655.0000000000018</v>
      </c>
      <c r="N1073" s="291" t="s">
        <v>44</v>
      </c>
    </row>
    <row r="1074" spans="1:14" ht="15" customHeight="1" x14ac:dyDescent="0.25">
      <c r="A1074" s="159">
        <v>45999</v>
      </c>
      <c r="B1074" s="180" t="s">
        <v>67</v>
      </c>
      <c r="C1074" s="180">
        <v>27.23</v>
      </c>
      <c r="D1074" s="180">
        <v>9.35</v>
      </c>
      <c r="E1074" s="180">
        <f t="shared" si="176"/>
        <v>17.880000000000003</v>
      </c>
      <c r="F1074" s="180" t="s">
        <v>23</v>
      </c>
      <c r="G1074" s="318" t="s">
        <v>902</v>
      </c>
      <c r="H1074" s="181">
        <v>1225</v>
      </c>
      <c r="I1074" s="181">
        <f t="shared" si="216"/>
        <v>21903.000000000004</v>
      </c>
      <c r="J1074" s="181">
        <v>0</v>
      </c>
      <c r="K1074" s="181">
        <f t="shared" si="217"/>
        <v>21903.000000000004</v>
      </c>
      <c r="L1074" s="181">
        <v>0</v>
      </c>
      <c r="M1074" s="181">
        <f t="shared" si="218"/>
        <v>21903.000000000004</v>
      </c>
      <c r="N1074" s="326" t="s">
        <v>44</v>
      </c>
    </row>
    <row r="1075" spans="1:14" ht="15" customHeight="1" x14ac:dyDescent="0.25">
      <c r="A1075" s="163">
        <v>45999</v>
      </c>
      <c r="B1075" s="184" t="s">
        <v>30</v>
      </c>
      <c r="C1075" s="184">
        <v>29.64</v>
      </c>
      <c r="D1075" s="184">
        <v>9.4700000000000006</v>
      </c>
      <c r="E1075" s="184">
        <f t="shared" si="176"/>
        <v>20.170000000000002</v>
      </c>
      <c r="F1075" s="184" t="s">
        <v>23</v>
      </c>
      <c r="G1075" s="319" t="s">
        <v>902</v>
      </c>
      <c r="H1075" s="139">
        <v>1225</v>
      </c>
      <c r="I1075" s="139">
        <f t="shared" si="216"/>
        <v>24708.250000000004</v>
      </c>
      <c r="J1075" s="139">
        <v>0</v>
      </c>
      <c r="K1075" s="139">
        <f t="shared" si="217"/>
        <v>24708.250000000004</v>
      </c>
      <c r="L1075" s="139">
        <v>0</v>
      </c>
      <c r="M1075" s="139">
        <f t="shared" si="218"/>
        <v>24708.250000000004</v>
      </c>
      <c r="N1075" s="327" t="s">
        <v>44</v>
      </c>
    </row>
    <row r="1076" spans="1:14" ht="15" customHeight="1" x14ac:dyDescent="0.25">
      <c r="A1076" s="163">
        <v>45999</v>
      </c>
      <c r="B1076" s="184" t="s">
        <v>49</v>
      </c>
      <c r="C1076" s="184">
        <v>18.41</v>
      </c>
      <c r="D1076" s="184">
        <v>9.36</v>
      </c>
      <c r="E1076" s="184">
        <f t="shared" si="176"/>
        <v>9.0500000000000007</v>
      </c>
      <c r="F1076" s="184" t="s">
        <v>35</v>
      </c>
      <c r="G1076" s="330" t="s">
        <v>907</v>
      </c>
      <c r="H1076" s="139">
        <v>1200</v>
      </c>
      <c r="I1076" s="139">
        <f t="shared" si="216"/>
        <v>10860</v>
      </c>
      <c r="J1076" s="139">
        <v>1000</v>
      </c>
      <c r="K1076" s="139">
        <f t="shared" si="217"/>
        <v>11860</v>
      </c>
      <c r="L1076" s="139">
        <v>60</v>
      </c>
      <c r="M1076" s="139">
        <f t="shared" si="218"/>
        <v>11800</v>
      </c>
      <c r="N1076" s="331" t="s">
        <v>20</v>
      </c>
    </row>
    <row r="1077" spans="1:14" ht="15" customHeight="1" x14ac:dyDescent="0.25">
      <c r="A1077" s="163">
        <v>45999</v>
      </c>
      <c r="B1077" s="184" t="s">
        <v>67</v>
      </c>
      <c r="C1077" s="184">
        <v>22.69</v>
      </c>
      <c r="D1077" s="184">
        <v>9.5299999999999994</v>
      </c>
      <c r="E1077" s="184">
        <f t="shared" si="176"/>
        <v>13.160000000000002</v>
      </c>
      <c r="F1077" s="184" t="s">
        <v>38</v>
      </c>
      <c r="G1077" s="330" t="s">
        <v>204</v>
      </c>
      <c r="H1077" s="139">
        <v>500</v>
      </c>
      <c r="I1077" s="139">
        <f t="shared" si="216"/>
        <v>6580.0000000000009</v>
      </c>
      <c r="J1077" s="139">
        <v>1000</v>
      </c>
      <c r="K1077" s="139">
        <f t="shared" si="217"/>
        <v>7580.0000000000009</v>
      </c>
      <c r="L1077" s="139">
        <v>30</v>
      </c>
      <c r="M1077" s="139">
        <f t="shared" si="218"/>
        <v>7550.0000000000009</v>
      </c>
      <c r="N1077" s="331" t="s">
        <v>20</v>
      </c>
    </row>
    <row r="1078" spans="1:14" ht="15" customHeight="1" x14ac:dyDescent="0.25">
      <c r="A1078" s="163">
        <v>45999</v>
      </c>
      <c r="B1078" s="184" t="s">
        <v>30</v>
      </c>
      <c r="C1078" s="184">
        <v>29.29</v>
      </c>
      <c r="D1078" s="184">
        <v>9.27</v>
      </c>
      <c r="E1078" s="184">
        <f t="shared" si="176"/>
        <v>20.02</v>
      </c>
      <c r="F1078" s="184" t="s">
        <v>23</v>
      </c>
      <c r="G1078" s="319" t="s">
        <v>902</v>
      </c>
      <c r="H1078" s="139">
        <v>1225</v>
      </c>
      <c r="I1078" s="139">
        <f t="shared" ref="I1078:I1081" si="219">H1078*E1078</f>
        <v>24524.5</v>
      </c>
      <c r="J1078" s="139">
        <v>0</v>
      </c>
      <c r="K1078" s="139">
        <f t="shared" ref="K1078:K1081" si="220">I1078+J1078</f>
        <v>24524.5</v>
      </c>
      <c r="L1078" s="139">
        <v>0</v>
      </c>
      <c r="M1078" s="139">
        <f t="shared" ref="M1078:M1081" si="221">K1078-L1078</f>
        <v>24524.5</v>
      </c>
      <c r="N1078" s="327" t="s">
        <v>44</v>
      </c>
    </row>
    <row r="1079" spans="1:14" ht="15" customHeight="1" x14ac:dyDescent="0.25">
      <c r="A1079" s="163">
        <v>45999</v>
      </c>
      <c r="B1079" s="184" t="s">
        <v>906</v>
      </c>
      <c r="C1079" s="184">
        <v>7.66</v>
      </c>
      <c r="D1079" s="184">
        <v>2.78</v>
      </c>
      <c r="E1079" s="184">
        <f t="shared" si="176"/>
        <v>4.8800000000000008</v>
      </c>
      <c r="F1079" s="184" t="s">
        <v>23</v>
      </c>
      <c r="G1079" s="330" t="s">
        <v>908</v>
      </c>
      <c r="H1079" s="139">
        <v>1400</v>
      </c>
      <c r="I1079" s="139">
        <f t="shared" si="219"/>
        <v>6832.0000000000009</v>
      </c>
      <c r="J1079" s="139">
        <v>0</v>
      </c>
      <c r="K1079" s="139">
        <f t="shared" si="220"/>
        <v>6832.0000000000009</v>
      </c>
      <c r="L1079" s="139">
        <v>32</v>
      </c>
      <c r="M1079" s="139">
        <f t="shared" si="221"/>
        <v>6800.0000000000009</v>
      </c>
      <c r="N1079" s="331" t="s">
        <v>20</v>
      </c>
    </row>
    <row r="1080" spans="1:14" ht="15" customHeight="1" x14ac:dyDescent="0.25">
      <c r="A1080" s="163">
        <v>45999</v>
      </c>
      <c r="B1080" s="184" t="s">
        <v>67</v>
      </c>
      <c r="C1080" s="184">
        <v>21.12</v>
      </c>
      <c r="D1080" s="184">
        <v>9.69</v>
      </c>
      <c r="E1080" s="184">
        <f t="shared" si="176"/>
        <v>11.430000000000001</v>
      </c>
      <c r="F1080" s="184" t="s">
        <v>23</v>
      </c>
      <c r="G1080" s="330" t="s">
        <v>204</v>
      </c>
      <c r="H1080" s="139">
        <v>1400</v>
      </c>
      <c r="I1080" s="139">
        <f t="shared" si="219"/>
        <v>16002.000000000002</v>
      </c>
      <c r="J1080" s="139">
        <v>1000</v>
      </c>
      <c r="K1080" s="139">
        <f t="shared" si="220"/>
        <v>17002</v>
      </c>
      <c r="L1080" s="139">
        <v>2</v>
      </c>
      <c r="M1080" s="139">
        <f t="shared" si="221"/>
        <v>17000</v>
      </c>
      <c r="N1080" s="331" t="s">
        <v>20</v>
      </c>
    </row>
    <row r="1081" spans="1:14" ht="15" customHeight="1" x14ac:dyDescent="0.25">
      <c r="A1081" s="163">
        <v>45999</v>
      </c>
      <c r="B1081" s="184" t="s">
        <v>49</v>
      </c>
      <c r="C1081" s="184">
        <v>19.420000000000002</v>
      </c>
      <c r="D1081" s="184">
        <v>9.41</v>
      </c>
      <c r="E1081" s="184">
        <f t="shared" si="176"/>
        <v>10.010000000000002</v>
      </c>
      <c r="F1081" s="184" t="s">
        <v>23</v>
      </c>
      <c r="G1081" s="330" t="s">
        <v>907</v>
      </c>
      <c r="H1081" s="139">
        <v>1400</v>
      </c>
      <c r="I1081" s="139">
        <f t="shared" si="219"/>
        <v>14014.000000000002</v>
      </c>
      <c r="J1081" s="139">
        <v>1000</v>
      </c>
      <c r="K1081" s="139">
        <f t="shared" si="220"/>
        <v>15014.000000000002</v>
      </c>
      <c r="L1081" s="139">
        <v>14</v>
      </c>
      <c r="M1081" s="139">
        <f t="shared" si="221"/>
        <v>15000.000000000002</v>
      </c>
      <c r="N1081" s="331" t="s">
        <v>20</v>
      </c>
    </row>
    <row r="1082" spans="1:14" ht="15" customHeight="1" x14ac:dyDescent="0.25">
      <c r="A1082" s="163">
        <v>45999</v>
      </c>
      <c r="B1082" s="184" t="s">
        <v>30</v>
      </c>
      <c r="C1082" s="184">
        <v>28.92</v>
      </c>
      <c r="D1082" s="184">
        <v>9.2799999999999994</v>
      </c>
      <c r="E1082" s="184">
        <f t="shared" si="176"/>
        <v>19.64</v>
      </c>
      <c r="F1082" s="184" t="s">
        <v>23</v>
      </c>
      <c r="G1082" s="330" t="s">
        <v>902</v>
      </c>
      <c r="H1082" s="139">
        <v>1225</v>
      </c>
      <c r="I1082" s="139">
        <f t="shared" ref="I1082:I1083" si="222">H1082*E1082</f>
        <v>24059</v>
      </c>
      <c r="J1082" s="139">
        <v>0</v>
      </c>
      <c r="K1082" s="139">
        <f t="shared" ref="K1082:K1083" si="223">I1082+J1082</f>
        <v>24059</v>
      </c>
      <c r="L1082" s="139">
        <v>0</v>
      </c>
      <c r="M1082" s="139">
        <f t="shared" ref="M1082:M1083" si="224">K1082-L1082</f>
        <v>24059</v>
      </c>
      <c r="N1082" s="327" t="s">
        <v>44</v>
      </c>
    </row>
    <row r="1083" spans="1:14" ht="15" customHeight="1" x14ac:dyDescent="0.25">
      <c r="A1083" s="163">
        <v>45999</v>
      </c>
      <c r="B1083" s="184" t="s">
        <v>40</v>
      </c>
      <c r="C1083" s="184">
        <v>6.57</v>
      </c>
      <c r="D1083" s="184">
        <v>2.77</v>
      </c>
      <c r="E1083" s="184">
        <f t="shared" si="176"/>
        <v>3.8000000000000003</v>
      </c>
      <c r="F1083" s="184" t="s">
        <v>23</v>
      </c>
      <c r="G1083" s="330" t="s">
        <v>593</v>
      </c>
      <c r="H1083" s="139">
        <v>1400</v>
      </c>
      <c r="I1083" s="139">
        <f t="shared" si="222"/>
        <v>5320</v>
      </c>
      <c r="J1083" s="139">
        <v>0</v>
      </c>
      <c r="K1083" s="139">
        <f t="shared" si="223"/>
        <v>5320</v>
      </c>
      <c r="L1083" s="139">
        <v>20</v>
      </c>
      <c r="M1083" s="139">
        <f t="shared" si="224"/>
        <v>5300</v>
      </c>
      <c r="N1083" s="331" t="s">
        <v>20</v>
      </c>
    </row>
    <row r="1084" spans="1:14" ht="15" customHeight="1" x14ac:dyDescent="0.25">
      <c r="A1084" s="163">
        <v>45999</v>
      </c>
      <c r="B1084" s="184" t="s">
        <v>22</v>
      </c>
      <c r="C1084" s="184">
        <v>30.61</v>
      </c>
      <c r="D1084" s="184">
        <v>9.65</v>
      </c>
      <c r="E1084" s="184">
        <f t="shared" si="176"/>
        <v>20.96</v>
      </c>
      <c r="F1084" s="184" t="s">
        <v>23</v>
      </c>
      <c r="G1084" s="330" t="s">
        <v>902</v>
      </c>
      <c r="H1084" s="139">
        <v>1225</v>
      </c>
      <c r="I1084" s="139">
        <f t="shared" ref="I1084:I1085" si="225">H1084*E1084</f>
        <v>25676</v>
      </c>
      <c r="J1084" s="139">
        <v>0</v>
      </c>
      <c r="K1084" s="139">
        <f t="shared" ref="K1084:K1085" si="226">I1084+J1084</f>
        <v>25676</v>
      </c>
      <c r="L1084" s="139">
        <v>0</v>
      </c>
      <c r="M1084" s="139">
        <f t="shared" ref="M1084:M1085" si="227">K1084-L1084</f>
        <v>25676</v>
      </c>
      <c r="N1084" s="327" t="s">
        <v>44</v>
      </c>
    </row>
    <row r="1085" spans="1:14" ht="15" customHeight="1" x14ac:dyDescent="0.25">
      <c r="A1085" s="163">
        <v>45999</v>
      </c>
      <c r="B1085" s="184" t="s">
        <v>67</v>
      </c>
      <c r="C1085" s="184">
        <v>29.48</v>
      </c>
      <c r="D1085" s="184">
        <v>9.34</v>
      </c>
      <c r="E1085" s="184">
        <f t="shared" si="176"/>
        <v>20.14</v>
      </c>
      <c r="F1085" s="184" t="s">
        <v>23</v>
      </c>
      <c r="G1085" s="330" t="s">
        <v>725</v>
      </c>
      <c r="H1085" s="139">
        <v>1300</v>
      </c>
      <c r="I1085" s="139">
        <f t="shared" si="225"/>
        <v>26182</v>
      </c>
      <c r="J1085" s="139">
        <v>0</v>
      </c>
      <c r="K1085" s="139">
        <f t="shared" si="226"/>
        <v>26182</v>
      </c>
      <c r="L1085" s="139">
        <v>0</v>
      </c>
      <c r="M1085" s="139">
        <f t="shared" si="227"/>
        <v>26182</v>
      </c>
      <c r="N1085" s="296" t="s">
        <v>44</v>
      </c>
    </row>
    <row r="1086" spans="1:14" ht="15" customHeight="1" x14ac:dyDescent="0.25">
      <c r="A1086" s="163">
        <v>45999</v>
      </c>
      <c r="B1086" s="184" t="s">
        <v>30</v>
      </c>
      <c r="C1086" s="184">
        <v>29.58</v>
      </c>
      <c r="D1086" s="184">
        <v>9.7100000000000009</v>
      </c>
      <c r="E1086" s="184">
        <f t="shared" si="176"/>
        <v>19.869999999999997</v>
      </c>
      <c r="F1086" s="184" t="s">
        <v>23</v>
      </c>
      <c r="G1086" s="330" t="s">
        <v>902</v>
      </c>
      <c r="H1086" s="139">
        <v>1225</v>
      </c>
      <c r="I1086" s="139">
        <f t="shared" ref="I1086:I1087" si="228">H1086*E1086</f>
        <v>24340.749999999996</v>
      </c>
      <c r="J1086" s="139">
        <v>0</v>
      </c>
      <c r="K1086" s="139">
        <f t="shared" ref="K1086:K1087" si="229">I1086+J1086</f>
        <v>24340.749999999996</v>
      </c>
      <c r="L1086" s="139">
        <v>0</v>
      </c>
      <c r="M1086" s="139">
        <f t="shared" ref="M1086:M1087" si="230">K1086-L1086</f>
        <v>24340.749999999996</v>
      </c>
      <c r="N1086" s="327" t="s">
        <v>44</v>
      </c>
    </row>
    <row r="1087" spans="1:14" ht="15" customHeight="1" x14ac:dyDescent="0.25">
      <c r="A1087" s="163">
        <v>45999</v>
      </c>
      <c r="B1087" s="184" t="s">
        <v>49</v>
      </c>
      <c r="C1087" s="184">
        <v>31.71</v>
      </c>
      <c r="D1087" s="184">
        <v>9.36</v>
      </c>
      <c r="E1087" s="184">
        <f t="shared" si="176"/>
        <v>22.35</v>
      </c>
      <c r="F1087" s="184" t="s">
        <v>23</v>
      </c>
      <c r="G1087" s="330" t="s">
        <v>901</v>
      </c>
      <c r="H1087" s="139">
        <v>1325</v>
      </c>
      <c r="I1087" s="139">
        <f t="shared" si="228"/>
        <v>29613.750000000004</v>
      </c>
      <c r="J1087" s="139">
        <v>2000</v>
      </c>
      <c r="K1087" s="139">
        <f t="shared" si="229"/>
        <v>31613.750000000004</v>
      </c>
      <c r="L1087" s="139">
        <v>0</v>
      </c>
      <c r="M1087" s="139">
        <f t="shared" si="230"/>
        <v>31613.750000000004</v>
      </c>
      <c r="N1087" s="296" t="s">
        <v>44</v>
      </c>
    </row>
    <row r="1088" spans="1:14" ht="15" customHeight="1" x14ac:dyDescent="0.25">
      <c r="A1088" s="163">
        <v>45999</v>
      </c>
      <c r="B1088" s="184" t="s">
        <v>22</v>
      </c>
      <c r="C1088" s="184">
        <v>30.26</v>
      </c>
      <c r="D1088" s="184">
        <v>9.75</v>
      </c>
      <c r="E1088" s="184">
        <f t="shared" si="176"/>
        <v>20.51</v>
      </c>
      <c r="F1088" s="184" t="s">
        <v>23</v>
      </c>
      <c r="G1088" s="330" t="s">
        <v>902</v>
      </c>
      <c r="H1088" s="139">
        <v>1225</v>
      </c>
      <c r="I1088" s="139">
        <f t="shared" ref="I1088:I1092" si="231">H1088*E1088</f>
        <v>25124.750000000004</v>
      </c>
      <c r="J1088" s="139">
        <v>0</v>
      </c>
      <c r="K1088" s="139">
        <f t="shared" ref="K1088:K1092" si="232">I1088+J1088</f>
        <v>25124.750000000004</v>
      </c>
      <c r="L1088" s="139">
        <v>0</v>
      </c>
      <c r="M1088" s="139">
        <f t="shared" ref="M1088:M1092" si="233">K1088-L1088</f>
        <v>25124.750000000004</v>
      </c>
      <c r="N1088" s="327" t="s">
        <v>44</v>
      </c>
    </row>
    <row r="1089" spans="1:14" ht="15" customHeight="1" x14ac:dyDescent="0.25">
      <c r="A1089" s="163">
        <v>45999</v>
      </c>
      <c r="B1089" s="184" t="s">
        <v>30</v>
      </c>
      <c r="C1089" s="184">
        <v>28.59</v>
      </c>
      <c r="D1089" s="184">
        <v>9.4</v>
      </c>
      <c r="E1089" s="184">
        <f t="shared" si="176"/>
        <v>19.189999999999998</v>
      </c>
      <c r="F1089" s="184" t="s">
        <v>23</v>
      </c>
      <c r="G1089" s="330" t="s">
        <v>902</v>
      </c>
      <c r="H1089" s="139">
        <v>1225</v>
      </c>
      <c r="I1089" s="139">
        <f t="shared" si="231"/>
        <v>23507.749999999996</v>
      </c>
      <c r="J1089" s="139">
        <v>0</v>
      </c>
      <c r="K1089" s="139">
        <f t="shared" si="232"/>
        <v>23507.749999999996</v>
      </c>
      <c r="L1089" s="139">
        <v>0</v>
      </c>
      <c r="M1089" s="139">
        <f t="shared" si="233"/>
        <v>23507.749999999996</v>
      </c>
      <c r="N1089" s="327" t="s">
        <v>44</v>
      </c>
    </row>
    <row r="1090" spans="1:14" ht="15" customHeight="1" x14ac:dyDescent="0.25">
      <c r="A1090" s="163">
        <v>45999</v>
      </c>
      <c r="B1090" s="184" t="s">
        <v>22</v>
      </c>
      <c r="C1090" s="184">
        <v>29.73</v>
      </c>
      <c r="D1090" s="184">
        <v>9.8000000000000007</v>
      </c>
      <c r="E1090" s="184">
        <f t="shared" si="176"/>
        <v>19.93</v>
      </c>
      <c r="F1090" s="184" t="s">
        <v>23</v>
      </c>
      <c r="G1090" s="330" t="s">
        <v>902</v>
      </c>
      <c r="H1090" s="139">
        <v>1225</v>
      </c>
      <c r="I1090" s="139">
        <f t="shared" si="231"/>
        <v>24414.25</v>
      </c>
      <c r="J1090" s="139">
        <v>0</v>
      </c>
      <c r="K1090" s="139">
        <f t="shared" si="232"/>
        <v>24414.25</v>
      </c>
      <c r="L1090" s="139">
        <v>0</v>
      </c>
      <c r="M1090" s="139">
        <f t="shared" si="233"/>
        <v>24414.25</v>
      </c>
      <c r="N1090" s="327" t="s">
        <v>44</v>
      </c>
    </row>
    <row r="1091" spans="1:14" ht="15" customHeight="1" thickBot="1" x14ac:dyDescent="0.3">
      <c r="A1091" s="166">
        <v>45999</v>
      </c>
      <c r="B1091" s="206" t="s">
        <v>30</v>
      </c>
      <c r="C1091" s="206">
        <v>29.78</v>
      </c>
      <c r="D1091" s="206">
        <v>9.36</v>
      </c>
      <c r="E1091" s="206">
        <f t="shared" si="176"/>
        <v>20.420000000000002</v>
      </c>
      <c r="F1091" s="206" t="s">
        <v>23</v>
      </c>
      <c r="G1091" s="332" t="s">
        <v>902</v>
      </c>
      <c r="H1091" s="146">
        <v>1225</v>
      </c>
      <c r="I1091" s="146">
        <f t="shared" si="231"/>
        <v>25014.500000000004</v>
      </c>
      <c r="J1091" s="146">
        <v>0</v>
      </c>
      <c r="K1091" s="146">
        <f t="shared" si="232"/>
        <v>25014.500000000004</v>
      </c>
      <c r="L1091" s="146">
        <v>0</v>
      </c>
      <c r="M1091" s="146">
        <f t="shared" si="233"/>
        <v>25014.500000000004</v>
      </c>
      <c r="N1091" s="328" t="s">
        <v>44</v>
      </c>
    </row>
    <row r="1092" spans="1:14" ht="15" customHeight="1" x14ac:dyDescent="0.25">
      <c r="A1092" s="159">
        <v>46000</v>
      </c>
      <c r="B1092" s="180" t="s">
        <v>67</v>
      </c>
      <c r="C1092" s="180">
        <v>19.850000000000001</v>
      </c>
      <c r="D1092" s="180">
        <v>9.6999999999999993</v>
      </c>
      <c r="E1092" s="180">
        <f t="shared" si="176"/>
        <v>10.150000000000002</v>
      </c>
      <c r="F1092" s="180" t="s">
        <v>23</v>
      </c>
      <c r="G1092" s="333" t="s">
        <v>909</v>
      </c>
      <c r="H1092" s="181">
        <v>1400</v>
      </c>
      <c r="I1092" s="181">
        <f t="shared" si="231"/>
        <v>14210.000000000004</v>
      </c>
      <c r="J1092" s="181">
        <v>2000</v>
      </c>
      <c r="K1092" s="181">
        <f t="shared" si="232"/>
        <v>16210.000000000004</v>
      </c>
      <c r="L1092" s="181">
        <v>10</v>
      </c>
      <c r="M1092" s="181">
        <f t="shared" si="233"/>
        <v>16200.000000000004</v>
      </c>
      <c r="N1092" s="334" t="s">
        <v>25</v>
      </c>
    </row>
    <row r="1093" spans="1:14" ht="15" customHeight="1" x14ac:dyDescent="0.25">
      <c r="A1093" s="163">
        <v>46000</v>
      </c>
      <c r="B1093" s="184" t="s">
        <v>17</v>
      </c>
      <c r="C1093" s="184">
        <v>6.43</v>
      </c>
      <c r="D1093" s="184">
        <v>2.81</v>
      </c>
      <c r="E1093" s="184">
        <f t="shared" si="176"/>
        <v>3.6199999999999997</v>
      </c>
      <c r="F1093" s="184" t="s">
        <v>23</v>
      </c>
      <c r="G1093" s="330" t="s">
        <v>910</v>
      </c>
      <c r="H1093" s="139">
        <v>1400</v>
      </c>
      <c r="I1093" s="139">
        <f t="shared" ref="I1093:I1102" si="234">H1093*E1093</f>
        <v>5067.9999999999991</v>
      </c>
      <c r="J1093" s="139">
        <v>0</v>
      </c>
      <c r="K1093" s="139">
        <f t="shared" ref="K1093:K1102" si="235">I1093+J1093</f>
        <v>5067.9999999999991</v>
      </c>
      <c r="L1093" s="139">
        <v>68</v>
      </c>
      <c r="M1093" s="139">
        <f t="shared" ref="M1093:M1102" si="236">K1093-L1093</f>
        <v>4999.9999999999991</v>
      </c>
      <c r="N1093" s="331" t="s">
        <v>20</v>
      </c>
    </row>
    <row r="1094" spans="1:14" ht="15" customHeight="1" x14ac:dyDescent="0.25">
      <c r="A1094" s="163">
        <v>46000</v>
      </c>
      <c r="B1094" s="184" t="s">
        <v>47</v>
      </c>
      <c r="C1094" s="184">
        <v>26.01</v>
      </c>
      <c r="D1094" s="184">
        <v>9.56</v>
      </c>
      <c r="E1094" s="184">
        <f t="shared" si="176"/>
        <v>16.450000000000003</v>
      </c>
      <c r="F1094" s="184" t="s">
        <v>38</v>
      </c>
      <c r="G1094" s="330" t="s">
        <v>903</v>
      </c>
      <c r="H1094" s="139">
        <v>500</v>
      </c>
      <c r="I1094" s="139">
        <f t="shared" si="234"/>
        <v>8225.0000000000018</v>
      </c>
      <c r="J1094" s="139">
        <v>0</v>
      </c>
      <c r="K1094" s="139">
        <f t="shared" si="235"/>
        <v>8225.0000000000018</v>
      </c>
      <c r="L1094" s="139">
        <v>0</v>
      </c>
      <c r="M1094" s="139">
        <f t="shared" si="236"/>
        <v>8225.0000000000018</v>
      </c>
      <c r="N1094" s="331" t="s">
        <v>44</v>
      </c>
    </row>
    <row r="1095" spans="1:14" ht="15" customHeight="1" thickBot="1" x14ac:dyDescent="0.3">
      <c r="A1095" s="166">
        <v>46000</v>
      </c>
      <c r="B1095" s="206" t="s">
        <v>729</v>
      </c>
      <c r="C1095" s="206">
        <v>33.700000000000003</v>
      </c>
      <c r="D1095" s="206">
        <v>10.83</v>
      </c>
      <c r="E1095" s="206">
        <f t="shared" si="176"/>
        <v>22.870000000000005</v>
      </c>
      <c r="F1095" s="206" t="s">
        <v>23</v>
      </c>
      <c r="G1095" s="332" t="s">
        <v>911</v>
      </c>
      <c r="H1095" s="146">
        <v>1400</v>
      </c>
      <c r="I1095" s="146">
        <f t="shared" si="234"/>
        <v>32018.000000000007</v>
      </c>
      <c r="J1095" s="146">
        <v>0</v>
      </c>
      <c r="K1095" s="146">
        <f t="shared" si="235"/>
        <v>32018.000000000007</v>
      </c>
      <c r="L1095" s="146">
        <v>18</v>
      </c>
      <c r="M1095" s="146">
        <f t="shared" si="236"/>
        <v>32000.000000000007</v>
      </c>
      <c r="N1095" s="352" t="s">
        <v>25</v>
      </c>
    </row>
    <row r="1096" spans="1:14" ht="15" customHeight="1" x14ac:dyDescent="0.25">
      <c r="A1096" s="159">
        <v>46001</v>
      </c>
      <c r="B1096" s="180" t="s">
        <v>67</v>
      </c>
      <c r="C1096" s="180">
        <v>16.61</v>
      </c>
      <c r="D1096" s="180">
        <v>9.92</v>
      </c>
      <c r="E1096" s="180">
        <f t="shared" si="176"/>
        <v>6.6899999999999995</v>
      </c>
      <c r="F1096" s="180" t="s">
        <v>23</v>
      </c>
      <c r="G1096" s="333" t="s">
        <v>912</v>
      </c>
      <c r="H1096" s="181">
        <v>1400</v>
      </c>
      <c r="I1096" s="181">
        <f t="shared" si="234"/>
        <v>9366</v>
      </c>
      <c r="J1096" s="181">
        <v>1000</v>
      </c>
      <c r="K1096" s="181">
        <f t="shared" si="235"/>
        <v>10366</v>
      </c>
      <c r="L1096" s="181">
        <v>66</v>
      </c>
      <c r="M1096" s="181">
        <f t="shared" si="236"/>
        <v>10300</v>
      </c>
      <c r="N1096" s="334" t="s">
        <v>20</v>
      </c>
    </row>
    <row r="1097" spans="1:14" ht="15" customHeight="1" x14ac:dyDescent="0.25">
      <c r="A1097" s="163">
        <v>46001</v>
      </c>
      <c r="B1097" s="184" t="s">
        <v>49</v>
      </c>
      <c r="C1097" s="184">
        <v>29.58</v>
      </c>
      <c r="D1097" s="184">
        <v>9.33</v>
      </c>
      <c r="E1097" s="184">
        <f t="shared" si="176"/>
        <v>20.25</v>
      </c>
      <c r="F1097" s="184" t="s">
        <v>23</v>
      </c>
      <c r="G1097" s="330" t="s">
        <v>752</v>
      </c>
      <c r="H1097" s="139">
        <v>1300</v>
      </c>
      <c r="I1097" s="139">
        <f t="shared" si="234"/>
        <v>26325</v>
      </c>
      <c r="J1097" s="139">
        <v>500</v>
      </c>
      <c r="K1097" s="139">
        <f t="shared" si="235"/>
        <v>26825</v>
      </c>
      <c r="L1097" s="139">
        <v>0</v>
      </c>
      <c r="M1097" s="139">
        <f t="shared" si="236"/>
        <v>26825</v>
      </c>
      <c r="N1097" s="331" t="s">
        <v>20</v>
      </c>
    </row>
    <row r="1098" spans="1:14" ht="15" customHeight="1" thickBot="1" x14ac:dyDescent="0.3">
      <c r="A1098" s="166">
        <v>46001</v>
      </c>
      <c r="B1098" s="206" t="s">
        <v>181</v>
      </c>
      <c r="C1098" s="206">
        <v>7.23</v>
      </c>
      <c r="D1098" s="206">
        <v>2.94</v>
      </c>
      <c r="E1098" s="206">
        <f t="shared" si="176"/>
        <v>4.2900000000000009</v>
      </c>
      <c r="F1098" s="206" t="s">
        <v>23</v>
      </c>
      <c r="G1098" s="332" t="s">
        <v>37</v>
      </c>
      <c r="H1098" s="146">
        <v>1350</v>
      </c>
      <c r="I1098" s="146">
        <f t="shared" si="234"/>
        <v>5791.5000000000009</v>
      </c>
      <c r="J1098" s="146">
        <v>0</v>
      </c>
      <c r="K1098" s="146">
        <f t="shared" si="235"/>
        <v>5791.5000000000009</v>
      </c>
      <c r="L1098" s="146">
        <v>0</v>
      </c>
      <c r="M1098" s="146">
        <f t="shared" si="236"/>
        <v>5791.5000000000009</v>
      </c>
      <c r="N1098" s="352" t="s">
        <v>25</v>
      </c>
    </row>
    <row r="1099" spans="1:14" ht="15" customHeight="1" x14ac:dyDescent="0.25">
      <c r="A1099" s="159">
        <v>46002</v>
      </c>
      <c r="B1099" s="180" t="s">
        <v>67</v>
      </c>
      <c r="C1099" s="180">
        <v>29.85</v>
      </c>
      <c r="D1099" s="180">
        <v>9.5399999999999991</v>
      </c>
      <c r="E1099" s="180">
        <f t="shared" si="176"/>
        <v>20.310000000000002</v>
      </c>
      <c r="F1099" s="180" t="s">
        <v>23</v>
      </c>
      <c r="G1099" s="333" t="s">
        <v>752</v>
      </c>
      <c r="H1099" s="181">
        <v>1300</v>
      </c>
      <c r="I1099" s="181">
        <f t="shared" si="234"/>
        <v>26403.000000000004</v>
      </c>
      <c r="J1099" s="181">
        <v>0</v>
      </c>
      <c r="K1099" s="181">
        <f t="shared" si="235"/>
        <v>26403.000000000004</v>
      </c>
      <c r="L1099" s="181">
        <v>0</v>
      </c>
      <c r="M1099" s="181">
        <f t="shared" si="236"/>
        <v>26403.000000000004</v>
      </c>
      <c r="N1099" s="334" t="s">
        <v>44</v>
      </c>
    </row>
    <row r="1100" spans="1:14" ht="15" customHeight="1" x14ac:dyDescent="0.25">
      <c r="A1100" s="163">
        <v>46002</v>
      </c>
      <c r="B1100" s="184" t="s">
        <v>67</v>
      </c>
      <c r="C1100" s="184">
        <v>29.25</v>
      </c>
      <c r="D1100" s="184">
        <v>9.6300000000000008</v>
      </c>
      <c r="E1100" s="184">
        <f t="shared" si="176"/>
        <v>19.619999999999997</v>
      </c>
      <c r="F1100" s="184" t="s">
        <v>23</v>
      </c>
      <c r="G1100" s="330" t="s">
        <v>752</v>
      </c>
      <c r="H1100" s="139">
        <v>1300</v>
      </c>
      <c r="I1100" s="139">
        <f t="shared" si="234"/>
        <v>25505.999999999996</v>
      </c>
      <c r="J1100" s="139">
        <v>0</v>
      </c>
      <c r="K1100" s="139">
        <f t="shared" si="235"/>
        <v>25505.999999999996</v>
      </c>
      <c r="L1100" s="139">
        <v>0</v>
      </c>
      <c r="M1100" s="139">
        <f t="shared" si="236"/>
        <v>25505.999999999996</v>
      </c>
      <c r="N1100" s="331" t="s">
        <v>44</v>
      </c>
    </row>
    <row r="1101" spans="1:14" ht="15" customHeight="1" x14ac:dyDescent="0.25">
      <c r="A1101" s="163">
        <v>46002</v>
      </c>
      <c r="B1101" s="184" t="s">
        <v>67</v>
      </c>
      <c r="C1101" s="184">
        <v>19.77</v>
      </c>
      <c r="D1101" s="184">
        <v>9.5</v>
      </c>
      <c r="E1101" s="184">
        <f t="shared" si="176"/>
        <v>10.27</v>
      </c>
      <c r="F1101" s="184" t="s">
        <v>23</v>
      </c>
      <c r="G1101" s="330" t="s">
        <v>37</v>
      </c>
      <c r="H1101" s="139">
        <v>1350</v>
      </c>
      <c r="I1101" s="139">
        <f t="shared" si="234"/>
        <v>13864.5</v>
      </c>
      <c r="J1101" s="139">
        <v>700</v>
      </c>
      <c r="K1101" s="139">
        <f t="shared" si="235"/>
        <v>14564.5</v>
      </c>
      <c r="L1101" s="139">
        <v>14</v>
      </c>
      <c r="M1101" s="139">
        <f t="shared" si="236"/>
        <v>14550.5</v>
      </c>
      <c r="N1101" s="331" t="s">
        <v>25</v>
      </c>
    </row>
    <row r="1102" spans="1:14" ht="15" customHeight="1" thickBot="1" x14ac:dyDescent="0.3">
      <c r="A1102" s="166">
        <v>46002</v>
      </c>
      <c r="B1102" s="206" t="s">
        <v>47</v>
      </c>
      <c r="C1102" s="206">
        <v>29.16</v>
      </c>
      <c r="D1102" s="206">
        <v>9.5299999999999994</v>
      </c>
      <c r="E1102" s="206">
        <f t="shared" si="176"/>
        <v>19.630000000000003</v>
      </c>
      <c r="F1102" s="206" t="s">
        <v>23</v>
      </c>
      <c r="G1102" s="332" t="s">
        <v>903</v>
      </c>
      <c r="H1102" s="146">
        <v>1350</v>
      </c>
      <c r="I1102" s="146">
        <f t="shared" si="234"/>
        <v>26500.500000000004</v>
      </c>
      <c r="J1102" s="146">
        <v>0</v>
      </c>
      <c r="K1102" s="146">
        <f t="shared" si="235"/>
        <v>26500.500000000004</v>
      </c>
      <c r="L1102" s="146">
        <v>0</v>
      </c>
      <c r="M1102" s="146">
        <f t="shared" si="236"/>
        <v>26500.500000000004</v>
      </c>
      <c r="N1102" s="352" t="s">
        <v>44</v>
      </c>
    </row>
    <row r="1103" spans="1:14" ht="15" customHeight="1" x14ac:dyDescent="0.25">
      <c r="A1103" s="159">
        <v>46003</v>
      </c>
      <c r="B1103" s="180" t="s">
        <v>47</v>
      </c>
      <c r="C1103" s="180">
        <v>29.45</v>
      </c>
      <c r="D1103" s="180">
        <v>9.25</v>
      </c>
      <c r="E1103" s="180">
        <f t="shared" si="176"/>
        <v>20.2</v>
      </c>
      <c r="F1103" s="180" t="s">
        <v>23</v>
      </c>
      <c r="G1103" s="333" t="s">
        <v>903</v>
      </c>
      <c r="H1103" s="181">
        <v>1350</v>
      </c>
      <c r="I1103" s="181">
        <f t="shared" ref="I1103:I1111" si="237">H1103*E1103</f>
        <v>27270</v>
      </c>
      <c r="J1103" s="181">
        <v>0</v>
      </c>
      <c r="K1103" s="181">
        <f t="shared" ref="K1103:K1111" si="238">I1103+J1103</f>
        <v>27270</v>
      </c>
      <c r="L1103" s="181">
        <v>0</v>
      </c>
      <c r="M1103" s="181">
        <f t="shared" ref="M1103:M1111" si="239">K1103-L1103</f>
        <v>27270</v>
      </c>
      <c r="N1103" s="334" t="s">
        <v>44</v>
      </c>
    </row>
    <row r="1104" spans="1:14" ht="15" customHeight="1" x14ac:dyDescent="0.25">
      <c r="A1104" s="163">
        <v>46003</v>
      </c>
      <c r="B1104" s="184" t="s">
        <v>67</v>
      </c>
      <c r="C1104" s="184">
        <v>29.81</v>
      </c>
      <c r="D1104" s="184">
        <v>9.43</v>
      </c>
      <c r="E1104" s="184">
        <f t="shared" si="176"/>
        <v>20.38</v>
      </c>
      <c r="F1104" s="184" t="s">
        <v>23</v>
      </c>
      <c r="G1104" s="330" t="s">
        <v>902</v>
      </c>
      <c r="H1104" s="139">
        <v>1225</v>
      </c>
      <c r="I1104" s="139">
        <f t="shared" si="237"/>
        <v>24965.5</v>
      </c>
      <c r="J1104" s="139">
        <v>0</v>
      </c>
      <c r="K1104" s="139">
        <f t="shared" si="238"/>
        <v>24965.5</v>
      </c>
      <c r="L1104" s="139">
        <v>0</v>
      </c>
      <c r="M1104" s="139">
        <f t="shared" si="239"/>
        <v>24965.5</v>
      </c>
      <c r="N1104" s="327" t="s">
        <v>44</v>
      </c>
    </row>
    <row r="1105" spans="1:14" ht="15" customHeight="1" x14ac:dyDescent="0.25">
      <c r="A1105" s="163">
        <v>46003</v>
      </c>
      <c r="B1105" s="184" t="s">
        <v>51</v>
      </c>
      <c r="C1105" s="184">
        <v>28.76</v>
      </c>
      <c r="D1105" s="184">
        <v>9.42</v>
      </c>
      <c r="E1105" s="184">
        <f t="shared" si="176"/>
        <v>19.340000000000003</v>
      </c>
      <c r="F1105" s="184" t="s">
        <v>23</v>
      </c>
      <c r="G1105" s="330" t="s">
        <v>902</v>
      </c>
      <c r="H1105" s="139">
        <v>1225</v>
      </c>
      <c r="I1105" s="139">
        <f t="shared" si="237"/>
        <v>23691.500000000004</v>
      </c>
      <c r="J1105" s="139">
        <v>0</v>
      </c>
      <c r="K1105" s="139">
        <f t="shared" si="238"/>
        <v>23691.500000000004</v>
      </c>
      <c r="L1105" s="139">
        <v>0</v>
      </c>
      <c r="M1105" s="139">
        <f t="shared" si="239"/>
        <v>23691.500000000004</v>
      </c>
      <c r="N1105" s="327" t="s">
        <v>44</v>
      </c>
    </row>
    <row r="1106" spans="1:14" ht="15" customHeight="1" x14ac:dyDescent="0.25">
      <c r="A1106" s="163">
        <v>46003</v>
      </c>
      <c r="B1106" s="184" t="s">
        <v>51</v>
      </c>
      <c r="C1106" s="184">
        <v>29.62</v>
      </c>
      <c r="D1106" s="184">
        <v>9.39</v>
      </c>
      <c r="E1106" s="184">
        <f t="shared" si="176"/>
        <v>20.23</v>
      </c>
      <c r="F1106" s="184" t="s">
        <v>23</v>
      </c>
      <c r="G1106" s="330" t="s">
        <v>902</v>
      </c>
      <c r="H1106" s="139">
        <v>1225</v>
      </c>
      <c r="I1106" s="139">
        <f t="shared" si="237"/>
        <v>24781.75</v>
      </c>
      <c r="J1106" s="139">
        <v>0</v>
      </c>
      <c r="K1106" s="139">
        <f t="shared" si="238"/>
        <v>24781.75</v>
      </c>
      <c r="L1106" s="139">
        <v>0</v>
      </c>
      <c r="M1106" s="139">
        <f t="shared" si="239"/>
        <v>24781.75</v>
      </c>
      <c r="N1106" s="327" t="s">
        <v>44</v>
      </c>
    </row>
    <row r="1107" spans="1:14" ht="15" customHeight="1" x14ac:dyDescent="0.25">
      <c r="A1107" s="163">
        <v>46003</v>
      </c>
      <c r="B1107" s="184" t="s">
        <v>67</v>
      </c>
      <c r="C1107" s="184">
        <v>30.21</v>
      </c>
      <c r="D1107" s="184">
        <v>9.26</v>
      </c>
      <c r="E1107" s="184">
        <f t="shared" si="176"/>
        <v>20.950000000000003</v>
      </c>
      <c r="F1107" s="184" t="s">
        <v>23</v>
      </c>
      <c r="G1107" s="330" t="s">
        <v>902</v>
      </c>
      <c r="H1107" s="139">
        <v>1225</v>
      </c>
      <c r="I1107" s="139">
        <f t="shared" si="237"/>
        <v>25663.750000000004</v>
      </c>
      <c r="J1107" s="139">
        <v>0</v>
      </c>
      <c r="K1107" s="139">
        <f t="shared" si="238"/>
        <v>25663.750000000004</v>
      </c>
      <c r="L1107" s="139">
        <v>0</v>
      </c>
      <c r="M1107" s="139">
        <f t="shared" si="239"/>
        <v>25663.750000000004</v>
      </c>
      <c r="N1107" s="327" t="s">
        <v>44</v>
      </c>
    </row>
    <row r="1108" spans="1:14" ht="15" customHeight="1" x14ac:dyDescent="0.25">
      <c r="A1108" s="163">
        <v>46003</v>
      </c>
      <c r="B1108" s="184" t="s">
        <v>51</v>
      </c>
      <c r="C1108" s="184">
        <v>28.74</v>
      </c>
      <c r="D1108" s="184">
        <v>9.5</v>
      </c>
      <c r="E1108" s="184">
        <f t="shared" si="176"/>
        <v>19.239999999999998</v>
      </c>
      <c r="F1108" s="184" t="s">
        <v>23</v>
      </c>
      <c r="G1108" s="330" t="s">
        <v>902</v>
      </c>
      <c r="H1108" s="139">
        <v>1225</v>
      </c>
      <c r="I1108" s="139">
        <f t="shared" si="237"/>
        <v>23568.999999999996</v>
      </c>
      <c r="J1108" s="139">
        <v>0</v>
      </c>
      <c r="K1108" s="139">
        <f t="shared" si="238"/>
        <v>23568.999999999996</v>
      </c>
      <c r="L1108" s="139">
        <v>0</v>
      </c>
      <c r="M1108" s="139">
        <f t="shared" si="239"/>
        <v>23568.999999999996</v>
      </c>
      <c r="N1108" s="327" t="s">
        <v>44</v>
      </c>
    </row>
    <row r="1109" spans="1:14" ht="15" customHeight="1" thickBot="1" x14ac:dyDescent="0.3">
      <c r="A1109" s="166">
        <v>46003</v>
      </c>
      <c r="B1109" s="206" t="s">
        <v>67</v>
      </c>
      <c r="C1109" s="206">
        <v>30.36</v>
      </c>
      <c r="D1109" s="206">
        <v>9.3699999999999992</v>
      </c>
      <c r="E1109" s="206">
        <f t="shared" si="176"/>
        <v>20.990000000000002</v>
      </c>
      <c r="F1109" s="206" t="s">
        <v>23</v>
      </c>
      <c r="G1109" s="332" t="s">
        <v>902</v>
      </c>
      <c r="H1109" s="146">
        <v>1225</v>
      </c>
      <c r="I1109" s="146">
        <f t="shared" si="237"/>
        <v>25712.750000000004</v>
      </c>
      <c r="J1109" s="146">
        <v>0</v>
      </c>
      <c r="K1109" s="146">
        <f t="shared" si="238"/>
        <v>25712.750000000004</v>
      </c>
      <c r="L1109" s="146">
        <v>0</v>
      </c>
      <c r="M1109" s="146">
        <f t="shared" si="239"/>
        <v>25712.750000000004</v>
      </c>
      <c r="N1109" s="328" t="s">
        <v>44</v>
      </c>
    </row>
    <row r="1110" spans="1:14" ht="15" customHeight="1" x14ac:dyDescent="0.25">
      <c r="A1110" s="159">
        <v>46004</v>
      </c>
      <c r="B1110" s="180" t="s">
        <v>49</v>
      </c>
      <c r="C1110" s="180">
        <v>29.57</v>
      </c>
      <c r="D1110" s="180">
        <v>9.35</v>
      </c>
      <c r="E1110" s="180">
        <f t="shared" si="176"/>
        <v>20.22</v>
      </c>
      <c r="F1110" s="180" t="s">
        <v>23</v>
      </c>
      <c r="G1110" s="333" t="s">
        <v>725</v>
      </c>
      <c r="H1110" s="181">
        <v>1300</v>
      </c>
      <c r="I1110" s="181">
        <f t="shared" si="237"/>
        <v>26286</v>
      </c>
      <c r="J1110" s="181">
        <v>0</v>
      </c>
      <c r="K1110" s="181">
        <f t="shared" si="238"/>
        <v>26286</v>
      </c>
      <c r="L1110" s="181">
        <v>0</v>
      </c>
      <c r="M1110" s="181">
        <f t="shared" si="239"/>
        <v>26286</v>
      </c>
      <c r="N1110" s="320" t="s">
        <v>44</v>
      </c>
    </row>
    <row r="1111" spans="1:14" ht="15" customHeight="1" x14ac:dyDescent="0.25">
      <c r="A1111" s="163">
        <v>46004</v>
      </c>
      <c r="B1111" s="184" t="s">
        <v>67</v>
      </c>
      <c r="C1111" s="184">
        <v>29.99</v>
      </c>
      <c r="D1111" s="184">
        <v>9.75</v>
      </c>
      <c r="E1111" s="184">
        <f t="shared" si="176"/>
        <v>20.239999999999998</v>
      </c>
      <c r="F1111" s="184" t="s">
        <v>23</v>
      </c>
      <c r="G1111" s="330" t="s">
        <v>902</v>
      </c>
      <c r="H1111" s="139">
        <v>1225</v>
      </c>
      <c r="I1111" s="139">
        <f t="shared" si="237"/>
        <v>24793.999999999996</v>
      </c>
      <c r="J1111" s="139">
        <v>0</v>
      </c>
      <c r="K1111" s="139">
        <f t="shared" si="238"/>
        <v>24793.999999999996</v>
      </c>
      <c r="L1111" s="139">
        <v>0</v>
      </c>
      <c r="M1111" s="139">
        <f t="shared" si="239"/>
        <v>24793.999999999996</v>
      </c>
      <c r="N1111" s="327" t="s">
        <v>44</v>
      </c>
    </row>
    <row r="1112" spans="1:14" ht="15" customHeight="1" x14ac:dyDescent="0.25">
      <c r="A1112" s="163">
        <v>46004</v>
      </c>
      <c r="B1112" s="184" t="s">
        <v>51</v>
      </c>
      <c r="C1112" s="184">
        <v>30.26</v>
      </c>
      <c r="D1112" s="184">
        <v>9.5399999999999991</v>
      </c>
      <c r="E1112" s="184">
        <f t="shared" si="176"/>
        <v>20.720000000000002</v>
      </c>
      <c r="F1112" s="184" t="s">
        <v>23</v>
      </c>
      <c r="G1112" s="330" t="s">
        <v>902</v>
      </c>
      <c r="H1112" s="139">
        <v>1225</v>
      </c>
      <c r="I1112" s="139">
        <f t="shared" ref="I1112:I1113" si="240">H1112*E1112</f>
        <v>25382.000000000004</v>
      </c>
      <c r="J1112" s="139">
        <v>0</v>
      </c>
      <c r="K1112" s="139">
        <f t="shared" ref="K1112:K1113" si="241">I1112+J1112</f>
        <v>25382.000000000004</v>
      </c>
      <c r="L1112" s="139">
        <v>0</v>
      </c>
      <c r="M1112" s="139">
        <f t="shared" ref="M1112:M1113" si="242">K1112-L1112</f>
        <v>25382.000000000004</v>
      </c>
      <c r="N1112" s="327" t="s">
        <v>44</v>
      </c>
    </row>
    <row r="1113" spans="1:14" ht="15" customHeight="1" x14ac:dyDescent="0.25">
      <c r="A1113" s="163">
        <v>46004</v>
      </c>
      <c r="B1113" s="184" t="s">
        <v>22</v>
      </c>
      <c r="C1113" s="184">
        <v>28.81</v>
      </c>
      <c r="D1113" s="184">
        <v>9.36</v>
      </c>
      <c r="E1113" s="184">
        <f t="shared" si="176"/>
        <v>19.45</v>
      </c>
      <c r="F1113" s="184" t="s">
        <v>23</v>
      </c>
      <c r="G1113" s="330" t="s">
        <v>725</v>
      </c>
      <c r="H1113" s="139">
        <v>1300</v>
      </c>
      <c r="I1113" s="139">
        <f t="shared" si="240"/>
        <v>25285</v>
      </c>
      <c r="J1113" s="139">
        <v>0</v>
      </c>
      <c r="K1113" s="139">
        <f t="shared" si="241"/>
        <v>25285</v>
      </c>
      <c r="L1113" s="139">
        <v>0</v>
      </c>
      <c r="M1113" s="139">
        <f t="shared" si="242"/>
        <v>25285</v>
      </c>
      <c r="N1113" s="296" t="s">
        <v>44</v>
      </c>
    </row>
    <row r="1114" spans="1:14" ht="15" customHeight="1" x14ac:dyDescent="0.25">
      <c r="A1114" s="163">
        <v>46004</v>
      </c>
      <c r="B1114" s="184" t="s">
        <v>51</v>
      </c>
      <c r="C1114" s="184">
        <v>29.04</v>
      </c>
      <c r="D1114" s="184">
        <v>9.6199999999999992</v>
      </c>
      <c r="E1114" s="184">
        <f t="shared" si="176"/>
        <v>19.420000000000002</v>
      </c>
      <c r="F1114" s="184" t="s">
        <v>23</v>
      </c>
      <c r="G1114" s="330" t="s">
        <v>902</v>
      </c>
      <c r="H1114" s="139">
        <v>1225</v>
      </c>
      <c r="I1114" s="139">
        <f t="shared" ref="I1114:I1116" si="243">H1114*E1114</f>
        <v>23789.500000000004</v>
      </c>
      <c r="J1114" s="139">
        <v>0</v>
      </c>
      <c r="K1114" s="139">
        <f t="shared" ref="K1114:K1116" si="244">I1114+J1114</f>
        <v>23789.500000000004</v>
      </c>
      <c r="L1114" s="139">
        <v>0</v>
      </c>
      <c r="M1114" s="139">
        <f t="shared" ref="M1114:M1116" si="245">K1114-L1114</f>
        <v>23789.500000000004</v>
      </c>
      <c r="N1114" s="327" t="s">
        <v>44</v>
      </c>
    </row>
    <row r="1115" spans="1:14" ht="15" customHeight="1" thickBot="1" x14ac:dyDescent="0.3">
      <c r="A1115" s="166">
        <v>46004</v>
      </c>
      <c r="B1115" s="206" t="s">
        <v>67</v>
      </c>
      <c r="C1115" s="206">
        <v>29.25</v>
      </c>
      <c r="D1115" s="206">
        <v>9.85</v>
      </c>
      <c r="E1115" s="206">
        <f t="shared" si="176"/>
        <v>19.399999999999999</v>
      </c>
      <c r="F1115" s="206" t="s">
        <v>23</v>
      </c>
      <c r="G1115" s="332" t="s">
        <v>902</v>
      </c>
      <c r="H1115" s="146">
        <v>1225</v>
      </c>
      <c r="I1115" s="146">
        <f t="shared" si="243"/>
        <v>23765</v>
      </c>
      <c r="J1115" s="146">
        <v>0</v>
      </c>
      <c r="K1115" s="146">
        <f t="shared" si="244"/>
        <v>23765</v>
      </c>
      <c r="L1115" s="146">
        <v>0</v>
      </c>
      <c r="M1115" s="146">
        <f t="shared" si="245"/>
        <v>23765</v>
      </c>
      <c r="N1115" s="328" t="s">
        <v>44</v>
      </c>
    </row>
    <row r="1116" spans="1:14" ht="15" customHeight="1" thickBot="1" x14ac:dyDescent="0.3">
      <c r="A1116" s="355">
        <v>46006</v>
      </c>
      <c r="B1116" s="353" t="s">
        <v>936</v>
      </c>
      <c r="C1116" s="353">
        <v>6.3</v>
      </c>
      <c r="D1116" s="353">
        <v>3.07</v>
      </c>
      <c r="E1116" s="353">
        <f t="shared" si="176"/>
        <v>3.23</v>
      </c>
      <c r="F1116" s="353" t="s">
        <v>23</v>
      </c>
      <c r="G1116" s="354" t="s">
        <v>910</v>
      </c>
      <c r="H1116" s="356">
        <v>1400</v>
      </c>
      <c r="I1116" s="356">
        <f t="shared" si="243"/>
        <v>4522</v>
      </c>
      <c r="J1116" s="356">
        <v>0</v>
      </c>
      <c r="K1116" s="356">
        <f t="shared" si="244"/>
        <v>4522</v>
      </c>
      <c r="L1116" s="356">
        <v>22</v>
      </c>
      <c r="M1116" s="356">
        <f t="shared" si="245"/>
        <v>4500</v>
      </c>
      <c r="N1116" s="357" t="s">
        <v>20</v>
      </c>
    </row>
    <row r="1117" spans="1:14" ht="15" customHeight="1" x14ac:dyDescent="0.25">
      <c r="A1117" s="159">
        <v>46007</v>
      </c>
      <c r="B1117" s="180" t="s">
        <v>88</v>
      </c>
      <c r="C1117" s="180">
        <v>29.69</v>
      </c>
      <c r="D1117" s="180">
        <v>10.02</v>
      </c>
      <c r="E1117" s="180">
        <f t="shared" si="176"/>
        <v>19.670000000000002</v>
      </c>
      <c r="F1117" s="180" t="s">
        <v>23</v>
      </c>
      <c r="G1117" s="333" t="s">
        <v>902</v>
      </c>
      <c r="H1117" s="181">
        <v>1225</v>
      </c>
      <c r="I1117" s="181">
        <f t="shared" ref="I1117:I1118" si="246">H1117*E1117</f>
        <v>24095.750000000004</v>
      </c>
      <c r="J1117" s="181">
        <v>0</v>
      </c>
      <c r="K1117" s="181">
        <f t="shared" ref="K1117:K1118" si="247">I1117+J1117</f>
        <v>24095.750000000004</v>
      </c>
      <c r="L1117" s="181">
        <v>0</v>
      </c>
      <c r="M1117" s="181">
        <f t="shared" ref="M1117:M1118" si="248">K1117-L1117</f>
        <v>24095.750000000004</v>
      </c>
      <c r="N1117" s="326" t="s">
        <v>44</v>
      </c>
    </row>
    <row r="1118" spans="1:14" ht="15" customHeight="1" x14ac:dyDescent="0.25">
      <c r="A1118" s="163">
        <v>46007</v>
      </c>
      <c r="B1118" s="184" t="s">
        <v>47</v>
      </c>
      <c r="C1118" s="184">
        <v>29.12</v>
      </c>
      <c r="D1118" s="184">
        <v>9.86</v>
      </c>
      <c r="E1118" s="184">
        <f t="shared" si="176"/>
        <v>19.260000000000002</v>
      </c>
      <c r="F1118" s="184" t="s">
        <v>23</v>
      </c>
      <c r="G1118" s="330" t="s">
        <v>902</v>
      </c>
      <c r="H1118" s="139">
        <v>1225</v>
      </c>
      <c r="I1118" s="139">
        <f t="shared" si="246"/>
        <v>23593.500000000004</v>
      </c>
      <c r="J1118" s="139">
        <v>0</v>
      </c>
      <c r="K1118" s="139">
        <f t="shared" si="247"/>
        <v>23593.500000000004</v>
      </c>
      <c r="L1118" s="139">
        <v>0</v>
      </c>
      <c r="M1118" s="139">
        <f t="shared" si="248"/>
        <v>23593.500000000004</v>
      </c>
      <c r="N1118" s="327" t="s">
        <v>44</v>
      </c>
    </row>
    <row r="1119" spans="1:14" ht="15" customHeight="1" x14ac:dyDescent="0.25">
      <c r="A1119" s="163">
        <v>46007</v>
      </c>
      <c r="B1119" s="184" t="s">
        <v>88</v>
      </c>
      <c r="C1119" s="184">
        <v>29.53</v>
      </c>
      <c r="D1119" s="184">
        <v>9.94</v>
      </c>
      <c r="E1119" s="184">
        <f t="shared" si="176"/>
        <v>19.590000000000003</v>
      </c>
      <c r="F1119" s="184" t="s">
        <v>23</v>
      </c>
      <c r="G1119" s="330" t="s">
        <v>902</v>
      </c>
      <c r="H1119" s="139">
        <v>1225</v>
      </c>
      <c r="I1119" s="139">
        <f t="shared" ref="I1119:I1124" si="249">H1119*E1119</f>
        <v>23997.750000000004</v>
      </c>
      <c r="J1119" s="139">
        <v>0</v>
      </c>
      <c r="K1119" s="139">
        <f t="shared" ref="K1119:K1124" si="250">I1119+J1119</f>
        <v>23997.750000000004</v>
      </c>
      <c r="L1119" s="139">
        <v>0</v>
      </c>
      <c r="M1119" s="139">
        <f t="shared" ref="M1119:M1124" si="251">K1119-L1119</f>
        <v>23997.750000000004</v>
      </c>
      <c r="N1119" s="327" t="s">
        <v>44</v>
      </c>
    </row>
    <row r="1120" spans="1:14" ht="15" customHeight="1" x14ac:dyDescent="0.25">
      <c r="A1120" s="163">
        <v>46007</v>
      </c>
      <c r="B1120" s="184" t="s">
        <v>47</v>
      </c>
      <c r="C1120" s="184">
        <v>28.19</v>
      </c>
      <c r="D1120" s="184">
        <v>9.5500000000000007</v>
      </c>
      <c r="E1120" s="184">
        <f t="shared" si="176"/>
        <v>18.64</v>
      </c>
      <c r="F1120" s="184" t="s">
        <v>23</v>
      </c>
      <c r="G1120" s="330" t="s">
        <v>902</v>
      </c>
      <c r="H1120" s="139">
        <v>1225</v>
      </c>
      <c r="I1120" s="139">
        <f t="shared" si="249"/>
        <v>22834</v>
      </c>
      <c r="J1120" s="139">
        <v>0</v>
      </c>
      <c r="K1120" s="139">
        <f t="shared" si="250"/>
        <v>22834</v>
      </c>
      <c r="L1120" s="139">
        <v>0</v>
      </c>
      <c r="M1120" s="139">
        <f t="shared" si="251"/>
        <v>22834</v>
      </c>
      <c r="N1120" s="327" t="s">
        <v>44</v>
      </c>
    </row>
    <row r="1121" spans="1:14" ht="15" customHeight="1" thickBot="1" x14ac:dyDescent="0.3">
      <c r="A1121" s="166">
        <v>46007</v>
      </c>
      <c r="B1121" s="206" t="s">
        <v>88</v>
      </c>
      <c r="C1121" s="206">
        <v>28.46</v>
      </c>
      <c r="D1121" s="206">
        <v>10.15</v>
      </c>
      <c r="E1121" s="206">
        <f t="shared" si="176"/>
        <v>18.310000000000002</v>
      </c>
      <c r="F1121" s="206" t="s">
        <v>38</v>
      </c>
      <c r="G1121" s="332" t="s">
        <v>725</v>
      </c>
      <c r="H1121" s="146">
        <v>500</v>
      </c>
      <c r="I1121" s="146">
        <f t="shared" si="249"/>
        <v>9155.0000000000018</v>
      </c>
      <c r="J1121" s="146">
        <v>0</v>
      </c>
      <c r="K1121" s="146">
        <f t="shared" si="250"/>
        <v>9155.0000000000018</v>
      </c>
      <c r="L1121" s="146">
        <v>0</v>
      </c>
      <c r="M1121" s="146">
        <f t="shared" si="251"/>
        <v>9155.0000000000018</v>
      </c>
      <c r="N1121" s="328" t="s">
        <v>44</v>
      </c>
    </row>
    <row r="1122" spans="1:14" ht="15" customHeight="1" x14ac:dyDescent="0.25">
      <c r="A1122" s="159">
        <v>46008</v>
      </c>
      <c r="B1122" s="180" t="s">
        <v>937</v>
      </c>
      <c r="C1122" s="180">
        <v>7.82</v>
      </c>
      <c r="D1122" s="180">
        <v>3.05</v>
      </c>
      <c r="E1122" s="180">
        <f t="shared" si="176"/>
        <v>4.7700000000000005</v>
      </c>
      <c r="F1122" s="180" t="s">
        <v>35</v>
      </c>
      <c r="G1122" s="333" t="s">
        <v>941</v>
      </c>
      <c r="H1122" s="181">
        <v>1250</v>
      </c>
      <c r="I1122" s="181">
        <f t="shared" si="249"/>
        <v>5962.5000000000009</v>
      </c>
      <c r="J1122" s="181">
        <v>0</v>
      </c>
      <c r="K1122" s="181">
        <f t="shared" si="250"/>
        <v>5962.5000000000009</v>
      </c>
      <c r="L1122" s="181">
        <v>2.5</v>
      </c>
      <c r="M1122" s="181">
        <f t="shared" si="251"/>
        <v>5960.0000000000009</v>
      </c>
      <c r="N1122" s="334" t="s">
        <v>20</v>
      </c>
    </row>
    <row r="1123" spans="1:14" ht="15" customHeight="1" x14ac:dyDescent="0.25">
      <c r="A1123" s="163">
        <v>46008</v>
      </c>
      <c r="B1123" s="184" t="s">
        <v>938</v>
      </c>
      <c r="C1123" s="184">
        <v>41.86</v>
      </c>
      <c r="D1123" s="184">
        <v>13.91</v>
      </c>
      <c r="E1123" s="184">
        <f t="shared" si="176"/>
        <v>27.95</v>
      </c>
      <c r="F1123" s="184" t="s">
        <v>23</v>
      </c>
      <c r="G1123" s="330" t="s">
        <v>942</v>
      </c>
      <c r="H1123" s="139">
        <v>1250</v>
      </c>
      <c r="I1123" s="139">
        <f t="shared" si="249"/>
        <v>34937.5</v>
      </c>
      <c r="J1123" s="139">
        <v>0</v>
      </c>
      <c r="K1123" s="139">
        <f t="shared" si="250"/>
        <v>34937.5</v>
      </c>
      <c r="L1123" s="139">
        <v>0</v>
      </c>
      <c r="M1123" s="139">
        <f t="shared" si="251"/>
        <v>34937.5</v>
      </c>
      <c r="N1123" s="331" t="s">
        <v>25</v>
      </c>
    </row>
    <row r="1124" spans="1:14" ht="15" customHeight="1" x14ac:dyDescent="0.25">
      <c r="A1124" s="163">
        <v>46008</v>
      </c>
      <c r="B1124" s="184" t="s">
        <v>88</v>
      </c>
      <c r="C1124" s="184">
        <v>30.06</v>
      </c>
      <c r="D1124" s="184">
        <v>9.76</v>
      </c>
      <c r="E1124" s="184">
        <f t="shared" si="176"/>
        <v>20.299999999999997</v>
      </c>
      <c r="F1124" s="184" t="s">
        <v>23</v>
      </c>
      <c r="G1124" s="330" t="s">
        <v>752</v>
      </c>
      <c r="H1124" s="139">
        <v>1300</v>
      </c>
      <c r="I1124" s="139">
        <f t="shared" si="249"/>
        <v>26389.999999999996</v>
      </c>
      <c r="J1124" s="139">
        <v>0</v>
      </c>
      <c r="K1124" s="139">
        <f t="shared" si="250"/>
        <v>26389.999999999996</v>
      </c>
      <c r="L1124" s="139">
        <v>0</v>
      </c>
      <c r="M1124" s="139">
        <f t="shared" si="251"/>
        <v>26389.999999999996</v>
      </c>
      <c r="N1124" s="331" t="s">
        <v>44</v>
      </c>
    </row>
    <row r="1125" spans="1:14" ht="15" customHeight="1" x14ac:dyDescent="0.25">
      <c r="A1125" s="163">
        <v>46008</v>
      </c>
      <c r="B1125" s="184" t="s">
        <v>88</v>
      </c>
      <c r="C1125" s="184">
        <v>29.24</v>
      </c>
      <c r="D1125" s="184">
        <v>9.81</v>
      </c>
      <c r="E1125" s="184">
        <f t="shared" si="176"/>
        <v>19.43</v>
      </c>
      <c r="F1125" s="184" t="s">
        <v>23</v>
      </c>
      <c r="G1125" s="330" t="s">
        <v>752</v>
      </c>
      <c r="H1125" s="139">
        <v>1300</v>
      </c>
      <c r="I1125" s="139">
        <f t="shared" ref="I1125:I1126" si="252">H1125*E1125</f>
        <v>25259</v>
      </c>
      <c r="J1125" s="139">
        <v>0</v>
      </c>
      <c r="K1125" s="139">
        <f t="shared" ref="K1125:K1126" si="253">I1125+J1125</f>
        <v>25259</v>
      </c>
      <c r="L1125" s="139">
        <v>0</v>
      </c>
      <c r="M1125" s="139">
        <f t="shared" ref="M1125:M1126" si="254">K1125-L1125</f>
        <v>25259</v>
      </c>
      <c r="N1125" s="331" t="s">
        <v>44</v>
      </c>
    </row>
    <row r="1126" spans="1:14" ht="15" customHeight="1" x14ac:dyDescent="0.25">
      <c r="A1126" s="163">
        <v>46008</v>
      </c>
      <c r="B1126" s="184" t="s">
        <v>88</v>
      </c>
      <c r="C1126" s="184">
        <v>28.78</v>
      </c>
      <c r="D1126" s="184">
        <v>9.65</v>
      </c>
      <c r="E1126" s="184">
        <f t="shared" si="176"/>
        <v>19.130000000000003</v>
      </c>
      <c r="F1126" s="184" t="s">
        <v>23</v>
      </c>
      <c r="G1126" s="330" t="s">
        <v>725</v>
      </c>
      <c r="H1126" s="139">
        <v>1300</v>
      </c>
      <c r="I1126" s="139">
        <f t="shared" si="252"/>
        <v>24869.000000000004</v>
      </c>
      <c r="J1126" s="139">
        <v>0</v>
      </c>
      <c r="K1126" s="139">
        <f t="shared" si="253"/>
        <v>24869.000000000004</v>
      </c>
      <c r="L1126" s="139">
        <v>0</v>
      </c>
      <c r="M1126" s="139">
        <f t="shared" si="254"/>
        <v>24869.000000000004</v>
      </c>
      <c r="N1126" s="296" t="s">
        <v>44</v>
      </c>
    </row>
    <row r="1127" spans="1:14" ht="15" customHeight="1" x14ac:dyDescent="0.25">
      <c r="A1127" s="163">
        <v>46008</v>
      </c>
      <c r="B1127" s="184" t="s">
        <v>939</v>
      </c>
      <c r="C1127" s="184">
        <v>46.55</v>
      </c>
      <c r="D1127" s="184">
        <v>13.86</v>
      </c>
      <c r="E1127" s="184">
        <f t="shared" si="176"/>
        <v>32.69</v>
      </c>
      <c r="F1127" s="184" t="s">
        <v>23</v>
      </c>
      <c r="G1127" s="330" t="s">
        <v>942</v>
      </c>
      <c r="H1127" s="139">
        <v>1250</v>
      </c>
      <c r="I1127" s="139">
        <f t="shared" ref="I1127:I1136" si="255">H1127*E1127</f>
        <v>40862.5</v>
      </c>
      <c r="J1127" s="139">
        <v>0</v>
      </c>
      <c r="K1127" s="139">
        <f t="shared" ref="K1127:K1136" si="256">I1127+J1127</f>
        <v>40862.5</v>
      </c>
      <c r="L1127" s="139">
        <v>0</v>
      </c>
      <c r="M1127" s="139">
        <f t="shared" ref="M1127:M1136" si="257">K1127-L1127</f>
        <v>40862.5</v>
      </c>
      <c r="N1127" s="331" t="s">
        <v>25</v>
      </c>
    </row>
    <row r="1128" spans="1:14" ht="15" customHeight="1" thickBot="1" x14ac:dyDescent="0.3">
      <c r="A1128" s="166">
        <v>46008</v>
      </c>
      <c r="B1128" s="206" t="s">
        <v>940</v>
      </c>
      <c r="C1128" s="206">
        <v>40.380000000000003</v>
      </c>
      <c r="D1128" s="206">
        <v>14.48</v>
      </c>
      <c r="E1128" s="206">
        <f t="shared" si="176"/>
        <v>25.900000000000002</v>
      </c>
      <c r="F1128" s="206" t="s">
        <v>23</v>
      </c>
      <c r="G1128" s="332" t="s">
        <v>942</v>
      </c>
      <c r="H1128" s="146">
        <v>1250</v>
      </c>
      <c r="I1128" s="146">
        <f t="shared" si="255"/>
        <v>32375.000000000004</v>
      </c>
      <c r="J1128" s="146">
        <v>0</v>
      </c>
      <c r="K1128" s="146">
        <f t="shared" si="256"/>
        <v>32375.000000000004</v>
      </c>
      <c r="L1128" s="146">
        <v>5</v>
      </c>
      <c r="M1128" s="146">
        <f t="shared" si="257"/>
        <v>32370.000000000004</v>
      </c>
      <c r="N1128" s="352" t="s">
        <v>25</v>
      </c>
    </row>
    <row r="1129" spans="1:14" ht="15" customHeight="1" x14ac:dyDescent="0.25">
      <c r="A1129" s="159">
        <v>46009</v>
      </c>
      <c r="B1129" s="180" t="s">
        <v>22</v>
      </c>
      <c r="C1129" s="180">
        <v>30.35</v>
      </c>
      <c r="D1129" s="180">
        <v>9.74</v>
      </c>
      <c r="E1129" s="180">
        <f t="shared" si="176"/>
        <v>20.61</v>
      </c>
      <c r="F1129" s="180" t="s">
        <v>26</v>
      </c>
      <c r="G1129" s="333" t="s">
        <v>57</v>
      </c>
      <c r="H1129" s="181">
        <v>1365</v>
      </c>
      <c r="I1129" s="181">
        <f t="shared" si="255"/>
        <v>28132.649999999998</v>
      </c>
      <c r="J1129" s="181">
        <v>0</v>
      </c>
      <c r="K1129" s="181">
        <f t="shared" si="256"/>
        <v>28132.649999999998</v>
      </c>
      <c r="L1129" s="181">
        <v>0</v>
      </c>
      <c r="M1129" s="181">
        <f t="shared" si="257"/>
        <v>28132.649999999998</v>
      </c>
      <c r="N1129" s="334" t="s">
        <v>44</v>
      </c>
    </row>
    <row r="1130" spans="1:14" ht="15" customHeight="1" x14ac:dyDescent="0.25">
      <c r="A1130" s="163">
        <v>46009</v>
      </c>
      <c r="B1130" s="184" t="s">
        <v>88</v>
      </c>
      <c r="C1130" s="184">
        <v>30.44</v>
      </c>
      <c r="D1130" s="184">
        <v>9.76</v>
      </c>
      <c r="E1130" s="184">
        <f t="shared" si="176"/>
        <v>20.68</v>
      </c>
      <c r="F1130" s="184" t="s">
        <v>23</v>
      </c>
      <c r="G1130" s="330" t="s">
        <v>902</v>
      </c>
      <c r="H1130" s="139">
        <v>1225</v>
      </c>
      <c r="I1130" s="139">
        <f t="shared" si="255"/>
        <v>25333</v>
      </c>
      <c r="J1130" s="139">
        <v>0</v>
      </c>
      <c r="K1130" s="139">
        <f t="shared" si="256"/>
        <v>25333</v>
      </c>
      <c r="L1130" s="139">
        <v>0</v>
      </c>
      <c r="M1130" s="139">
        <f t="shared" si="257"/>
        <v>25333</v>
      </c>
      <c r="N1130" s="327" t="s">
        <v>44</v>
      </c>
    </row>
    <row r="1131" spans="1:14" ht="15" customHeight="1" x14ac:dyDescent="0.25">
      <c r="A1131" s="163">
        <v>46009</v>
      </c>
      <c r="B1131" s="184" t="s">
        <v>944</v>
      </c>
      <c r="C1131" s="184">
        <v>7.26</v>
      </c>
      <c r="D1131" s="184">
        <v>3.18</v>
      </c>
      <c r="E1131" s="184">
        <f t="shared" si="176"/>
        <v>4.08</v>
      </c>
      <c r="F1131" s="184" t="s">
        <v>23</v>
      </c>
      <c r="G1131" s="330" t="s">
        <v>945</v>
      </c>
      <c r="H1131" s="139">
        <v>1400</v>
      </c>
      <c r="I1131" s="139">
        <f t="shared" si="255"/>
        <v>5712</v>
      </c>
      <c r="J1131" s="139">
        <v>0</v>
      </c>
      <c r="K1131" s="139">
        <f t="shared" si="256"/>
        <v>5712</v>
      </c>
      <c r="L1131" s="139">
        <v>12</v>
      </c>
      <c r="M1131" s="139">
        <f t="shared" si="257"/>
        <v>5700</v>
      </c>
      <c r="N1131" s="331" t="s">
        <v>25</v>
      </c>
    </row>
    <row r="1132" spans="1:14" ht="15" customHeight="1" x14ac:dyDescent="0.25">
      <c r="A1132" s="163">
        <v>46009</v>
      </c>
      <c r="B1132" s="184" t="s">
        <v>88</v>
      </c>
      <c r="C1132" s="184">
        <v>28.37</v>
      </c>
      <c r="D1132" s="184">
        <v>9.7899999999999991</v>
      </c>
      <c r="E1132" s="184">
        <f t="shared" si="176"/>
        <v>18.580000000000002</v>
      </c>
      <c r="F1132" s="184" t="s">
        <v>23</v>
      </c>
      <c r="G1132" s="330" t="s">
        <v>725</v>
      </c>
      <c r="H1132" s="139">
        <v>1300</v>
      </c>
      <c r="I1132" s="139">
        <f t="shared" si="255"/>
        <v>24154.000000000004</v>
      </c>
      <c r="J1132" s="139">
        <v>0</v>
      </c>
      <c r="K1132" s="139">
        <f t="shared" si="256"/>
        <v>24154.000000000004</v>
      </c>
      <c r="L1132" s="139">
        <v>0</v>
      </c>
      <c r="M1132" s="139">
        <f t="shared" si="257"/>
        <v>24154.000000000004</v>
      </c>
      <c r="N1132" s="331" t="s">
        <v>44</v>
      </c>
    </row>
    <row r="1133" spans="1:14" ht="15" customHeight="1" x14ac:dyDescent="0.25">
      <c r="A1133" s="163">
        <v>46009</v>
      </c>
      <c r="B1133" s="184" t="s">
        <v>22</v>
      </c>
      <c r="C1133" s="184">
        <v>29.84</v>
      </c>
      <c r="D1133" s="184">
        <v>9.83</v>
      </c>
      <c r="E1133" s="184">
        <f t="shared" si="176"/>
        <v>20.009999999999998</v>
      </c>
      <c r="F1133" s="184" t="s">
        <v>35</v>
      </c>
      <c r="G1133" s="330" t="s">
        <v>905</v>
      </c>
      <c r="H1133" s="139">
        <v>1250</v>
      </c>
      <c r="I1133" s="139">
        <f t="shared" si="255"/>
        <v>25012.499999999996</v>
      </c>
      <c r="J1133" s="139">
        <v>3500</v>
      </c>
      <c r="K1133" s="139">
        <f t="shared" si="256"/>
        <v>28512.499999999996</v>
      </c>
      <c r="L1133" s="139">
        <v>12.5</v>
      </c>
      <c r="M1133" s="139">
        <f t="shared" si="257"/>
        <v>28499.999999999996</v>
      </c>
      <c r="N1133" s="331" t="s">
        <v>25</v>
      </c>
    </row>
    <row r="1134" spans="1:14" ht="15" customHeight="1" thickBot="1" x14ac:dyDescent="0.3">
      <c r="A1134" s="166">
        <v>46009</v>
      </c>
      <c r="B1134" s="206" t="s">
        <v>944</v>
      </c>
      <c r="C1134" s="206">
        <v>7.14</v>
      </c>
      <c r="D1134" s="206">
        <v>3.15</v>
      </c>
      <c r="E1134" s="206">
        <f t="shared" si="176"/>
        <v>3.9899999999999998</v>
      </c>
      <c r="F1134" s="206" t="s">
        <v>23</v>
      </c>
      <c r="G1134" s="332" t="s">
        <v>945</v>
      </c>
      <c r="H1134" s="146">
        <v>1400</v>
      </c>
      <c r="I1134" s="146">
        <f t="shared" si="255"/>
        <v>5586</v>
      </c>
      <c r="J1134" s="146">
        <v>0</v>
      </c>
      <c r="K1134" s="146">
        <f t="shared" si="256"/>
        <v>5586</v>
      </c>
      <c r="L1134" s="146">
        <v>6</v>
      </c>
      <c r="M1134" s="146">
        <f t="shared" si="257"/>
        <v>5580</v>
      </c>
      <c r="N1134" s="352" t="s">
        <v>25</v>
      </c>
    </row>
    <row r="1135" spans="1:14" ht="15" customHeight="1" thickBot="1" x14ac:dyDescent="0.3">
      <c r="A1135" s="368">
        <v>46010</v>
      </c>
      <c r="B1135" s="353" t="s">
        <v>946</v>
      </c>
      <c r="C1135" s="353">
        <v>8.24</v>
      </c>
      <c r="D1135" s="353">
        <v>3.23</v>
      </c>
      <c r="E1135" s="353">
        <f t="shared" si="176"/>
        <v>5.01</v>
      </c>
      <c r="F1135" s="353" t="s">
        <v>35</v>
      </c>
      <c r="G1135" s="354" t="s">
        <v>945</v>
      </c>
      <c r="H1135" s="356">
        <v>1250</v>
      </c>
      <c r="I1135" s="356">
        <f t="shared" si="255"/>
        <v>6262.5</v>
      </c>
      <c r="J1135" s="356">
        <v>0</v>
      </c>
      <c r="K1135" s="356">
        <f t="shared" si="256"/>
        <v>6262.5</v>
      </c>
      <c r="L1135" s="356">
        <v>62.5</v>
      </c>
      <c r="M1135" s="356">
        <f t="shared" si="257"/>
        <v>6200</v>
      </c>
      <c r="N1135" s="357" t="s">
        <v>25</v>
      </c>
    </row>
    <row r="1136" spans="1:14" ht="15" customHeight="1" x14ac:dyDescent="0.25">
      <c r="A1136" s="159">
        <v>46011</v>
      </c>
      <c r="B1136" s="180" t="s">
        <v>181</v>
      </c>
      <c r="C1136" s="180">
        <v>7.94</v>
      </c>
      <c r="D1136" s="180">
        <v>3.01</v>
      </c>
      <c r="E1136" s="180">
        <f t="shared" si="176"/>
        <v>4.9300000000000006</v>
      </c>
      <c r="F1136" s="180" t="s">
        <v>38</v>
      </c>
      <c r="G1136" s="333" t="s">
        <v>947</v>
      </c>
      <c r="H1136" s="181">
        <v>500</v>
      </c>
      <c r="I1136" s="181">
        <f t="shared" si="255"/>
        <v>2465.0000000000005</v>
      </c>
      <c r="J1136" s="181">
        <v>0</v>
      </c>
      <c r="K1136" s="181">
        <f t="shared" si="256"/>
        <v>2465.0000000000005</v>
      </c>
      <c r="L1136" s="181">
        <v>0</v>
      </c>
      <c r="M1136" s="181">
        <f t="shared" si="257"/>
        <v>2465.0000000000005</v>
      </c>
      <c r="N1136" s="334" t="s">
        <v>44</v>
      </c>
    </row>
    <row r="1137" spans="1:14" ht="15" customHeight="1" x14ac:dyDescent="0.25">
      <c r="A1137" s="163">
        <v>46011</v>
      </c>
      <c r="B1137" s="184" t="s">
        <v>88</v>
      </c>
      <c r="C1137" s="184">
        <v>31.82</v>
      </c>
      <c r="D1137" s="184">
        <v>9.74</v>
      </c>
      <c r="E1137" s="184">
        <f t="shared" si="176"/>
        <v>22.08</v>
      </c>
      <c r="F1137" s="184" t="s">
        <v>26</v>
      </c>
      <c r="G1137" s="330" t="s">
        <v>57</v>
      </c>
      <c r="H1137" s="139">
        <v>1365</v>
      </c>
      <c r="I1137" s="139">
        <f t="shared" ref="I1137:I1142" si="258">H1137*E1137</f>
        <v>30139.199999999997</v>
      </c>
      <c r="J1137" s="139">
        <v>0</v>
      </c>
      <c r="K1137" s="139">
        <f t="shared" ref="K1137:K1142" si="259">I1137+J1137</f>
        <v>30139.199999999997</v>
      </c>
      <c r="L1137" s="139">
        <v>0</v>
      </c>
      <c r="M1137" s="139">
        <f t="shared" ref="M1137:M1142" si="260">K1137-L1137</f>
        <v>30139.199999999997</v>
      </c>
      <c r="N1137" s="331" t="s">
        <v>44</v>
      </c>
    </row>
    <row r="1138" spans="1:14" ht="15" customHeight="1" thickBot="1" x14ac:dyDescent="0.3">
      <c r="A1138" s="166">
        <v>46011</v>
      </c>
      <c r="B1138" s="206" t="s">
        <v>67</v>
      </c>
      <c r="C1138" s="206">
        <v>30.81</v>
      </c>
      <c r="D1138" s="206">
        <v>9.39</v>
      </c>
      <c r="E1138" s="206">
        <f t="shared" si="176"/>
        <v>21.419999999999998</v>
      </c>
      <c r="F1138" s="206" t="s">
        <v>26</v>
      </c>
      <c r="G1138" s="332" t="s">
        <v>57</v>
      </c>
      <c r="H1138" s="146">
        <v>1365</v>
      </c>
      <c r="I1138" s="146">
        <f t="shared" si="258"/>
        <v>29238.3</v>
      </c>
      <c r="J1138" s="146">
        <v>0</v>
      </c>
      <c r="K1138" s="146">
        <f t="shared" si="259"/>
        <v>29238.3</v>
      </c>
      <c r="L1138" s="146">
        <v>0</v>
      </c>
      <c r="M1138" s="146">
        <f t="shared" si="260"/>
        <v>29238.3</v>
      </c>
      <c r="N1138" s="352" t="s">
        <v>44</v>
      </c>
    </row>
    <row r="1139" spans="1:14" ht="15" customHeight="1" x14ac:dyDescent="0.25">
      <c r="A1139" s="159">
        <v>46012</v>
      </c>
      <c r="B1139" s="180" t="s">
        <v>944</v>
      </c>
      <c r="C1139" s="180">
        <v>7.71</v>
      </c>
      <c r="D1139" s="180">
        <v>3.22</v>
      </c>
      <c r="E1139" s="180">
        <f t="shared" si="176"/>
        <v>4.49</v>
      </c>
      <c r="F1139" s="180" t="s">
        <v>23</v>
      </c>
      <c r="G1139" s="333" t="s">
        <v>945</v>
      </c>
      <c r="H1139" s="181">
        <v>1400</v>
      </c>
      <c r="I1139" s="181">
        <f t="shared" si="258"/>
        <v>6286</v>
      </c>
      <c r="J1139" s="181">
        <v>0</v>
      </c>
      <c r="K1139" s="181">
        <f t="shared" si="259"/>
        <v>6286</v>
      </c>
      <c r="L1139" s="181">
        <v>6</v>
      </c>
      <c r="M1139" s="181">
        <f t="shared" si="260"/>
        <v>6280</v>
      </c>
      <c r="N1139" s="334" t="s">
        <v>25</v>
      </c>
    </row>
    <row r="1140" spans="1:14" ht="15" customHeight="1" thickBot="1" x14ac:dyDescent="0.3">
      <c r="A1140" s="166">
        <v>46012</v>
      </c>
      <c r="B1140" s="206" t="s">
        <v>944</v>
      </c>
      <c r="C1140" s="206">
        <v>7.52</v>
      </c>
      <c r="D1140" s="206">
        <v>3.19</v>
      </c>
      <c r="E1140" s="206">
        <f t="shared" si="176"/>
        <v>4.33</v>
      </c>
      <c r="F1140" s="206" t="s">
        <v>23</v>
      </c>
      <c r="G1140" s="332" t="s">
        <v>945</v>
      </c>
      <c r="H1140" s="146">
        <v>1400</v>
      </c>
      <c r="I1140" s="146">
        <f t="shared" si="258"/>
        <v>6062</v>
      </c>
      <c r="J1140" s="146">
        <v>0</v>
      </c>
      <c r="K1140" s="146">
        <f t="shared" si="259"/>
        <v>6062</v>
      </c>
      <c r="L1140" s="146">
        <v>2</v>
      </c>
      <c r="M1140" s="146">
        <f t="shared" si="260"/>
        <v>6060</v>
      </c>
      <c r="N1140" s="352" t="s">
        <v>25</v>
      </c>
    </row>
    <row r="1141" spans="1:14" ht="15" customHeight="1" x14ac:dyDescent="0.25">
      <c r="A1141" s="159">
        <v>46013</v>
      </c>
      <c r="B1141" s="180" t="s">
        <v>67</v>
      </c>
      <c r="C1141" s="180">
        <v>31.66</v>
      </c>
      <c r="D1141" s="180">
        <v>9.59</v>
      </c>
      <c r="E1141" s="180">
        <f t="shared" si="176"/>
        <v>22.07</v>
      </c>
      <c r="F1141" s="180" t="s">
        <v>26</v>
      </c>
      <c r="G1141" s="333" t="s">
        <v>899</v>
      </c>
      <c r="H1141" s="372">
        <v>1225</v>
      </c>
      <c r="I1141" s="372">
        <f t="shared" si="258"/>
        <v>27035.75</v>
      </c>
      <c r="J1141" s="372">
        <v>0</v>
      </c>
      <c r="K1141" s="372">
        <f t="shared" si="259"/>
        <v>27035.75</v>
      </c>
      <c r="L1141" s="372">
        <v>0</v>
      </c>
      <c r="M1141" s="372">
        <f t="shared" si="260"/>
        <v>27035.75</v>
      </c>
      <c r="N1141" s="373" t="s">
        <v>44</v>
      </c>
    </row>
    <row r="1142" spans="1:14" ht="15" customHeight="1" thickBot="1" x14ac:dyDescent="0.3">
      <c r="A1142" s="166">
        <v>46013</v>
      </c>
      <c r="B1142" s="206" t="s">
        <v>88</v>
      </c>
      <c r="C1142" s="206">
        <v>31.56</v>
      </c>
      <c r="D1142" s="206">
        <v>9.73</v>
      </c>
      <c r="E1142" s="206">
        <f t="shared" si="176"/>
        <v>21.83</v>
      </c>
      <c r="F1142" s="206" t="s">
        <v>26</v>
      </c>
      <c r="G1142" s="332" t="s">
        <v>899</v>
      </c>
      <c r="H1142" s="374">
        <v>1225</v>
      </c>
      <c r="I1142" s="374">
        <f t="shared" si="258"/>
        <v>26741.749999999996</v>
      </c>
      <c r="J1142" s="374">
        <v>0</v>
      </c>
      <c r="K1142" s="374">
        <f t="shared" si="259"/>
        <v>26741.749999999996</v>
      </c>
      <c r="L1142" s="374">
        <v>0</v>
      </c>
      <c r="M1142" s="374">
        <f t="shared" si="260"/>
        <v>26741.749999999996</v>
      </c>
      <c r="N1142" s="375" t="s">
        <v>44</v>
      </c>
    </row>
    <row r="1143" spans="1:14" ht="15" customHeight="1" x14ac:dyDescent="0.25">
      <c r="A1143" s="159">
        <v>46014</v>
      </c>
      <c r="B1143" s="180" t="s">
        <v>49</v>
      </c>
      <c r="C1143" s="180">
        <v>30.88</v>
      </c>
      <c r="D1143" s="180">
        <v>9.6</v>
      </c>
      <c r="E1143" s="180">
        <f t="shared" si="176"/>
        <v>21.28</v>
      </c>
      <c r="F1143" s="180" t="s">
        <v>26</v>
      </c>
      <c r="G1143" s="333" t="s">
        <v>57</v>
      </c>
      <c r="H1143" s="181">
        <v>1365</v>
      </c>
      <c r="I1143" s="181">
        <f t="shared" ref="I1143:I1147" si="261">H1143*E1143</f>
        <v>29047.200000000001</v>
      </c>
      <c r="J1143" s="181">
        <v>0</v>
      </c>
      <c r="K1143" s="181">
        <f t="shared" ref="K1143:K1147" si="262">I1143+J1143</f>
        <v>29047.200000000001</v>
      </c>
      <c r="L1143" s="181">
        <v>0</v>
      </c>
      <c r="M1143" s="181">
        <f t="shared" ref="M1143:M1147" si="263">K1143-L1143</f>
        <v>29047.200000000001</v>
      </c>
      <c r="N1143" s="334" t="s">
        <v>44</v>
      </c>
    </row>
    <row r="1144" spans="1:14" ht="15" customHeight="1" x14ac:dyDescent="0.25">
      <c r="A1144" s="163">
        <v>46014</v>
      </c>
      <c r="B1144" s="184" t="s">
        <v>67</v>
      </c>
      <c r="C1144" s="184">
        <v>29</v>
      </c>
      <c r="D1144" s="184">
        <v>9.51</v>
      </c>
      <c r="E1144" s="184">
        <f t="shared" si="176"/>
        <v>19.490000000000002</v>
      </c>
      <c r="F1144" s="184" t="s">
        <v>26</v>
      </c>
      <c r="G1144" s="330" t="s">
        <v>57</v>
      </c>
      <c r="H1144" s="139">
        <v>1365</v>
      </c>
      <c r="I1144" s="139">
        <f t="shared" si="261"/>
        <v>26603.850000000002</v>
      </c>
      <c r="J1144" s="139">
        <v>0</v>
      </c>
      <c r="K1144" s="139">
        <f t="shared" si="262"/>
        <v>26603.850000000002</v>
      </c>
      <c r="L1144" s="139">
        <v>0</v>
      </c>
      <c r="M1144" s="139">
        <f t="shared" si="263"/>
        <v>26603.850000000002</v>
      </c>
      <c r="N1144" s="331" t="s">
        <v>44</v>
      </c>
    </row>
    <row r="1145" spans="1:14" ht="15" customHeight="1" x14ac:dyDescent="0.25">
      <c r="A1145" s="163">
        <v>46014</v>
      </c>
      <c r="B1145" s="184" t="s">
        <v>51</v>
      </c>
      <c r="C1145" s="184">
        <v>29.33</v>
      </c>
      <c r="D1145" s="184">
        <v>9.15</v>
      </c>
      <c r="E1145" s="184">
        <f t="shared" si="176"/>
        <v>20.18</v>
      </c>
      <c r="F1145" s="184" t="s">
        <v>23</v>
      </c>
      <c r="G1145" s="330" t="s">
        <v>902</v>
      </c>
      <c r="H1145" s="139">
        <v>1225</v>
      </c>
      <c r="I1145" s="139">
        <f t="shared" si="261"/>
        <v>24720.5</v>
      </c>
      <c r="J1145" s="139">
        <v>0</v>
      </c>
      <c r="K1145" s="139">
        <f t="shared" si="262"/>
        <v>24720.5</v>
      </c>
      <c r="L1145" s="139">
        <v>0</v>
      </c>
      <c r="M1145" s="139">
        <f t="shared" si="263"/>
        <v>24720.5</v>
      </c>
      <c r="N1145" s="327" t="s">
        <v>44</v>
      </c>
    </row>
    <row r="1146" spans="1:14" ht="15" customHeight="1" x14ac:dyDescent="0.25">
      <c r="A1146" s="163">
        <v>46014</v>
      </c>
      <c r="B1146" s="184" t="s">
        <v>22</v>
      </c>
      <c r="C1146" s="184">
        <v>29.84</v>
      </c>
      <c r="D1146" s="184">
        <v>9.6</v>
      </c>
      <c r="E1146" s="184">
        <f t="shared" si="176"/>
        <v>20.240000000000002</v>
      </c>
      <c r="F1146" s="184" t="s">
        <v>23</v>
      </c>
      <c r="G1146" s="330" t="s">
        <v>934</v>
      </c>
      <c r="H1146" s="139">
        <v>1400</v>
      </c>
      <c r="I1146" s="139">
        <f t="shared" si="261"/>
        <v>28336.000000000004</v>
      </c>
      <c r="J1146" s="139">
        <v>0</v>
      </c>
      <c r="K1146" s="139">
        <f t="shared" si="262"/>
        <v>28336.000000000004</v>
      </c>
      <c r="L1146" s="139">
        <v>0</v>
      </c>
      <c r="M1146" s="139">
        <f t="shared" si="263"/>
        <v>28336.000000000004</v>
      </c>
      <c r="N1146" s="327" t="s">
        <v>44</v>
      </c>
    </row>
    <row r="1147" spans="1:14" ht="15" customHeight="1" x14ac:dyDescent="0.25">
      <c r="A1147" s="163">
        <v>46014</v>
      </c>
      <c r="B1147" s="184" t="s">
        <v>22</v>
      </c>
      <c r="C1147" s="184">
        <v>29.45</v>
      </c>
      <c r="D1147" s="184">
        <v>9.44</v>
      </c>
      <c r="E1147" s="184">
        <f t="shared" si="176"/>
        <v>20.009999999999998</v>
      </c>
      <c r="F1147" s="184" t="s">
        <v>23</v>
      </c>
      <c r="G1147" s="330" t="s">
        <v>934</v>
      </c>
      <c r="H1147" s="139">
        <v>1400</v>
      </c>
      <c r="I1147" s="139">
        <f t="shared" si="261"/>
        <v>28013.999999999996</v>
      </c>
      <c r="J1147" s="139">
        <v>0</v>
      </c>
      <c r="K1147" s="139">
        <f t="shared" si="262"/>
        <v>28013.999999999996</v>
      </c>
      <c r="L1147" s="139">
        <v>0</v>
      </c>
      <c r="M1147" s="139">
        <f t="shared" si="263"/>
        <v>28013.999999999996</v>
      </c>
      <c r="N1147" s="327" t="s">
        <v>44</v>
      </c>
    </row>
    <row r="1148" spans="1:14" ht="15" customHeight="1" x14ac:dyDescent="0.25">
      <c r="A1148" s="163">
        <v>46014</v>
      </c>
      <c r="B1148" s="184" t="s">
        <v>51</v>
      </c>
      <c r="C1148" s="184">
        <v>28.8</v>
      </c>
      <c r="D1148" s="184">
        <v>9.15</v>
      </c>
      <c r="E1148" s="184">
        <f t="shared" si="176"/>
        <v>19.649999999999999</v>
      </c>
      <c r="F1148" s="184" t="s">
        <v>23</v>
      </c>
      <c r="G1148" s="330" t="s">
        <v>902</v>
      </c>
      <c r="H1148" s="139">
        <v>1225</v>
      </c>
      <c r="I1148" s="139">
        <f t="shared" ref="I1148:I1154" si="264">H1148*E1148</f>
        <v>24071.25</v>
      </c>
      <c r="J1148" s="139">
        <v>0</v>
      </c>
      <c r="K1148" s="139">
        <f t="shared" ref="K1148:K1154" si="265">I1148+J1148</f>
        <v>24071.25</v>
      </c>
      <c r="L1148" s="139">
        <v>0</v>
      </c>
      <c r="M1148" s="139">
        <f t="shared" ref="M1148:M1154" si="266">K1148-L1148</f>
        <v>24071.25</v>
      </c>
      <c r="N1148" s="327" t="s">
        <v>44</v>
      </c>
    </row>
    <row r="1149" spans="1:14" ht="15" customHeight="1" x14ac:dyDescent="0.25">
      <c r="A1149" s="163">
        <v>46014</v>
      </c>
      <c r="B1149" s="184" t="s">
        <v>22</v>
      </c>
      <c r="C1149" s="184">
        <v>30.39</v>
      </c>
      <c r="D1149" s="184">
        <v>9.66</v>
      </c>
      <c r="E1149" s="184">
        <f t="shared" si="176"/>
        <v>20.73</v>
      </c>
      <c r="F1149" s="184" t="s">
        <v>23</v>
      </c>
      <c r="G1149" s="330" t="s">
        <v>725</v>
      </c>
      <c r="H1149" s="139">
        <v>1300</v>
      </c>
      <c r="I1149" s="139">
        <f t="shared" si="264"/>
        <v>26949</v>
      </c>
      <c r="J1149" s="139">
        <v>0</v>
      </c>
      <c r="K1149" s="139">
        <f t="shared" si="265"/>
        <v>26949</v>
      </c>
      <c r="L1149" s="139">
        <v>0</v>
      </c>
      <c r="M1149" s="139">
        <f t="shared" si="266"/>
        <v>26949</v>
      </c>
      <c r="N1149" s="331" t="s">
        <v>44</v>
      </c>
    </row>
    <row r="1150" spans="1:14" ht="15" customHeight="1" thickBot="1" x14ac:dyDescent="0.3">
      <c r="A1150" s="166">
        <v>46014</v>
      </c>
      <c r="B1150" s="206" t="s">
        <v>49</v>
      </c>
      <c r="C1150" s="206">
        <v>30.14</v>
      </c>
      <c r="D1150" s="206">
        <v>9.76</v>
      </c>
      <c r="E1150" s="206">
        <f t="shared" si="176"/>
        <v>20.380000000000003</v>
      </c>
      <c r="F1150" s="206" t="s">
        <v>23</v>
      </c>
      <c r="G1150" s="332" t="s">
        <v>725</v>
      </c>
      <c r="H1150" s="146">
        <v>1300</v>
      </c>
      <c r="I1150" s="146">
        <f t="shared" si="264"/>
        <v>26494.000000000004</v>
      </c>
      <c r="J1150" s="146">
        <v>0</v>
      </c>
      <c r="K1150" s="146">
        <f t="shared" si="265"/>
        <v>26494.000000000004</v>
      </c>
      <c r="L1150" s="146">
        <v>0</v>
      </c>
      <c r="M1150" s="146">
        <f t="shared" si="266"/>
        <v>26494.000000000004</v>
      </c>
      <c r="N1150" s="352" t="s">
        <v>44</v>
      </c>
    </row>
    <row r="1151" spans="1:14" ht="15" customHeight="1" thickBot="1" x14ac:dyDescent="0.3">
      <c r="A1151" s="355">
        <v>46015</v>
      </c>
      <c r="B1151" s="353" t="s">
        <v>70</v>
      </c>
      <c r="C1151" s="353">
        <v>21.02</v>
      </c>
      <c r="D1151" s="353">
        <v>11.25</v>
      </c>
      <c r="E1151" s="353">
        <f t="shared" si="176"/>
        <v>9.77</v>
      </c>
      <c r="F1151" s="353" t="s">
        <v>23</v>
      </c>
      <c r="G1151" s="354" t="s">
        <v>948</v>
      </c>
      <c r="H1151" s="356">
        <v>1400</v>
      </c>
      <c r="I1151" s="356">
        <f t="shared" si="264"/>
        <v>13678</v>
      </c>
      <c r="J1151" s="356">
        <v>0</v>
      </c>
      <c r="K1151" s="356">
        <f t="shared" si="265"/>
        <v>13678</v>
      </c>
      <c r="L1151" s="356">
        <v>78</v>
      </c>
      <c r="M1151" s="356">
        <f t="shared" si="266"/>
        <v>13600</v>
      </c>
      <c r="N1151" s="357" t="s">
        <v>20</v>
      </c>
    </row>
    <row r="1152" spans="1:14" ht="15" customHeight="1" x14ac:dyDescent="0.25">
      <c r="A1152" s="159">
        <v>46016</v>
      </c>
      <c r="B1152" s="180" t="s">
        <v>47</v>
      </c>
      <c r="C1152" s="180">
        <v>29.53</v>
      </c>
      <c r="D1152" s="180">
        <v>9.2899999999999991</v>
      </c>
      <c r="E1152" s="180">
        <f t="shared" si="176"/>
        <v>20.240000000000002</v>
      </c>
      <c r="F1152" s="180" t="s">
        <v>23</v>
      </c>
      <c r="G1152" s="333" t="s">
        <v>903</v>
      </c>
      <c r="H1152" s="181">
        <v>1350</v>
      </c>
      <c r="I1152" s="181">
        <f t="shared" si="264"/>
        <v>27324.000000000004</v>
      </c>
      <c r="J1152" s="181">
        <v>0</v>
      </c>
      <c r="K1152" s="181">
        <f t="shared" si="265"/>
        <v>27324.000000000004</v>
      </c>
      <c r="L1152" s="181">
        <v>0</v>
      </c>
      <c r="M1152" s="181">
        <f t="shared" si="266"/>
        <v>27324.000000000004</v>
      </c>
      <c r="N1152" s="334" t="s">
        <v>44</v>
      </c>
    </row>
    <row r="1153" spans="1:14" ht="15" customHeight="1" x14ac:dyDescent="0.25">
      <c r="A1153" s="163">
        <v>46016</v>
      </c>
      <c r="B1153" s="184" t="s">
        <v>47</v>
      </c>
      <c r="C1153" s="184">
        <v>29.59</v>
      </c>
      <c r="D1153" s="184">
        <v>9.69</v>
      </c>
      <c r="E1153" s="184">
        <f t="shared" si="176"/>
        <v>19.899999999999999</v>
      </c>
      <c r="F1153" s="184" t="s">
        <v>23</v>
      </c>
      <c r="G1153" s="330" t="s">
        <v>903</v>
      </c>
      <c r="H1153" s="139">
        <v>1350</v>
      </c>
      <c r="I1153" s="139">
        <f t="shared" si="264"/>
        <v>26864.999999999996</v>
      </c>
      <c r="J1153" s="139">
        <v>0</v>
      </c>
      <c r="K1153" s="139">
        <f t="shared" si="265"/>
        <v>26864.999999999996</v>
      </c>
      <c r="L1153" s="139">
        <v>0</v>
      </c>
      <c r="M1153" s="139">
        <f t="shared" si="266"/>
        <v>26864.999999999996</v>
      </c>
      <c r="N1153" s="331" t="s">
        <v>44</v>
      </c>
    </row>
    <row r="1154" spans="1:14" ht="15" customHeight="1" thickBot="1" x14ac:dyDescent="0.3">
      <c r="A1154" s="166">
        <v>46016</v>
      </c>
      <c r="B1154" s="206" t="s">
        <v>47</v>
      </c>
      <c r="C1154" s="206">
        <v>30.24</v>
      </c>
      <c r="D1154" s="206">
        <v>9.11</v>
      </c>
      <c r="E1154" s="206">
        <f t="shared" si="176"/>
        <v>21.13</v>
      </c>
      <c r="F1154" s="206" t="s">
        <v>23</v>
      </c>
      <c r="G1154" s="332" t="s">
        <v>903</v>
      </c>
      <c r="H1154" s="146">
        <v>1350</v>
      </c>
      <c r="I1154" s="146">
        <f t="shared" si="264"/>
        <v>28525.5</v>
      </c>
      <c r="J1154" s="146">
        <v>0</v>
      </c>
      <c r="K1154" s="146">
        <f t="shared" si="265"/>
        <v>28525.5</v>
      </c>
      <c r="L1154" s="146">
        <v>0</v>
      </c>
      <c r="M1154" s="146">
        <f t="shared" si="266"/>
        <v>28525.5</v>
      </c>
      <c r="N1154" s="352" t="s">
        <v>44</v>
      </c>
    </row>
    <row r="1155" spans="1:14" ht="15" customHeight="1" x14ac:dyDescent="0.25">
      <c r="A1155" s="159">
        <v>46017</v>
      </c>
      <c r="B1155" s="180" t="s">
        <v>47</v>
      </c>
      <c r="C1155" s="180">
        <v>31.67</v>
      </c>
      <c r="D1155" s="180">
        <v>9.73</v>
      </c>
      <c r="E1155" s="180">
        <f t="shared" si="176"/>
        <v>21.94</v>
      </c>
      <c r="F1155" s="180" t="s">
        <v>23</v>
      </c>
      <c r="G1155" s="333" t="s">
        <v>903</v>
      </c>
      <c r="H1155" s="181">
        <v>1350</v>
      </c>
      <c r="I1155" s="181">
        <f t="shared" ref="I1155:I1158" si="267">H1155*E1155</f>
        <v>29619</v>
      </c>
      <c r="J1155" s="181">
        <v>0</v>
      </c>
      <c r="K1155" s="181">
        <f t="shared" ref="K1155:K1158" si="268">I1155+J1155</f>
        <v>29619</v>
      </c>
      <c r="L1155" s="181">
        <v>0</v>
      </c>
      <c r="M1155" s="181">
        <f t="shared" ref="M1155:M1158" si="269">K1155-L1155</f>
        <v>29619</v>
      </c>
      <c r="N1155" s="334" t="s">
        <v>44</v>
      </c>
    </row>
    <row r="1156" spans="1:14" ht="15" customHeight="1" x14ac:dyDescent="0.25">
      <c r="A1156" s="163">
        <v>46017</v>
      </c>
      <c r="B1156" s="184" t="s">
        <v>47</v>
      </c>
      <c r="C1156" s="184">
        <v>31.72</v>
      </c>
      <c r="D1156" s="184">
        <v>9.5500000000000007</v>
      </c>
      <c r="E1156" s="184">
        <f t="shared" si="176"/>
        <v>22.169999999999998</v>
      </c>
      <c r="F1156" s="184" t="s">
        <v>23</v>
      </c>
      <c r="G1156" s="330" t="s">
        <v>903</v>
      </c>
      <c r="H1156" s="139">
        <v>1350</v>
      </c>
      <c r="I1156" s="139">
        <f t="shared" si="267"/>
        <v>29929.499999999996</v>
      </c>
      <c r="J1156" s="139">
        <v>0</v>
      </c>
      <c r="K1156" s="139">
        <f t="shared" si="268"/>
        <v>29929.499999999996</v>
      </c>
      <c r="L1156" s="139">
        <v>0</v>
      </c>
      <c r="M1156" s="139">
        <f t="shared" si="269"/>
        <v>29929.499999999996</v>
      </c>
      <c r="N1156" s="331" t="s">
        <v>44</v>
      </c>
    </row>
    <row r="1157" spans="1:14" ht="15" customHeight="1" x14ac:dyDescent="0.25">
      <c r="A1157" s="163">
        <v>46017</v>
      </c>
      <c r="B1157" s="184" t="s">
        <v>47</v>
      </c>
      <c r="C1157" s="184">
        <v>30.91</v>
      </c>
      <c r="D1157" s="184">
        <v>9.6</v>
      </c>
      <c r="E1157" s="184">
        <f t="shared" si="176"/>
        <v>21.310000000000002</v>
      </c>
      <c r="F1157" s="184" t="s">
        <v>23</v>
      </c>
      <c r="G1157" s="330" t="s">
        <v>903</v>
      </c>
      <c r="H1157" s="139">
        <v>1350</v>
      </c>
      <c r="I1157" s="139">
        <f t="shared" si="267"/>
        <v>28768.500000000004</v>
      </c>
      <c r="J1157" s="139">
        <v>0</v>
      </c>
      <c r="K1157" s="139">
        <f t="shared" si="268"/>
        <v>28768.500000000004</v>
      </c>
      <c r="L1157" s="139">
        <v>0</v>
      </c>
      <c r="M1157" s="139">
        <f t="shared" si="269"/>
        <v>28768.500000000004</v>
      </c>
      <c r="N1157" s="331" t="s">
        <v>44</v>
      </c>
    </row>
    <row r="1158" spans="1:14" ht="15" customHeight="1" thickBot="1" x14ac:dyDescent="0.3">
      <c r="A1158" s="166">
        <v>46017</v>
      </c>
      <c r="B1158" s="206" t="s">
        <v>47</v>
      </c>
      <c r="C1158" s="206">
        <v>30.73</v>
      </c>
      <c r="D1158" s="206">
        <v>9.3699999999999992</v>
      </c>
      <c r="E1158" s="206">
        <f t="shared" si="176"/>
        <v>21.36</v>
      </c>
      <c r="F1158" s="206" t="s">
        <v>23</v>
      </c>
      <c r="G1158" s="332" t="s">
        <v>903</v>
      </c>
      <c r="H1158" s="146">
        <v>1350</v>
      </c>
      <c r="I1158" s="146">
        <f t="shared" si="267"/>
        <v>28836</v>
      </c>
      <c r="J1158" s="146">
        <v>0</v>
      </c>
      <c r="K1158" s="146">
        <f t="shared" si="268"/>
        <v>28836</v>
      </c>
      <c r="L1158" s="146">
        <v>0</v>
      </c>
      <c r="M1158" s="146">
        <f t="shared" si="269"/>
        <v>28836</v>
      </c>
      <c r="N1158" s="352" t="s">
        <v>44</v>
      </c>
    </row>
    <row r="1159" spans="1:14" ht="15" customHeight="1" x14ac:dyDescent="0.25">
      <c r="A1159" s="159">
        <v>46018</v>
      </c>
      <c r="B1159" s="180" t="s">
        <v>47</v>
      </c>
      <c r="C1159" s="180">
        <v>31.87</v>
      </c>
      <c r="D1159" s="180">
        <v>9.2899999999999991</v>
      </c>
      <c r="E1159" s="180">
        <f t="shared" ref="E1159:E1172" si="270">C1159-D1159</f>
        <v>22.580000000000002</v>
      </c>
      <c r="F1159" s="180" t="s">
        <v>23</v>
      </c>
      <c r="G1159" s="333" t="s">
        <v>903</v>
      </c>
      <c r="H1159" s="181">
        <v>1350</v>
      </c>
      <c r="I1159" s="181">
        <f t="shared" ref="I1159:I1169" si="271">H1159*E1159</f>
        <v>30483.000000000004</v>
      </c>
      <c r="J1159" s="181">
        <v>0</v>
      </c>
      <c r="K1159" s="181">
        <f t="shared" ref="K1159:K1169" si="272">I1159+J1159</f>
        <v>30483.000000000004</v>
      </c>
      <c r="L1159" s="181">
        <v>0</v>
      </c>
      <c r="M1159" s="181">
        <f t="shared" ref="M1159:M1169" si="273">K1159-L1159</f>
        <v>30483.000000000004</v>
      </c>
      <c r="N1159" s="334" t="s">
        <v>44</v>
      </c>
    </row>
    <row r="1160" spans="1:14" ht="15" customHeight="1" thickBot="1" x14ac:dyDescent="0.3">
      <c r="A1160" s="166">
        <v>46018</v>
      </c>
      <c r="B1160" s="206" t="s">
        <v>47</v>
      </c>
      <c r="C1160" s="206">
        <v>31.21</v>
      </c>
      <c r="D1160" s="206">
        <v>9.16</v>
      </c>
      <c r="E1160" s="206">
        <f t="shared" si="270"/>
        <v>22.05</v>
      </c>
      <c r="F1160" s="206" t="s">
        <v>23</v>
      </c>
      <c r="G1160" s="332" t="s">
        <v>903</v>
      </c>
      <c r="H1160" s="146">
        <v>1350</v>
      </c>
      <c r="I1160" s="146">
        <f t="shared" si="271"/>
        <v>29767.5</v>
      </c>
      <c r="J1160" s="146">
        <v>0</v>
      </c>
      <c r="K1160" s="146">
        <f t="shared" si="272"/>
        <v>29767.5</v>
      </c>
      <c r="L1160" s="146">
        <v>0</v>
      </c>
      <c r="M1160" s="146">
        <f t="shared" si="273"/>
        <v>29767.5</v>
      </c>
      <c r="N1160" s="352" t="s">
        <v>44</v>
      </c>
    </row>
    <row r="1161" spans="1:14" ht="15" customHeight="1" x14ac:dyDescent="0.25">
      <c r="A1161" s="159">
        <v>46019</v>
      </c>
      <c r="B1161" s="180" t="s">
        <v>67</v>
      </c>
      <c r="C1161" s="180">
        <v>26.69</v>
      </c>
      <c r="D1161" s="180">
        <v>9.41</v>
      </c>
      <c r="E1161" s="180">
        <f t="shared" si="270"/>
        <v>17.28</v>
      </c>
      <c r="F1161" s="180" t="s">
        <v>35</v>
      </c>
      <c r="G1161" s="333" t="s">
        <v>950</v>
      </c>
      <c r="H1161" s="181">
        <v>1250</v>
      </c>
      <c r="I1161" s="181">
        <f t="shared" si="271"/>
        <v>21600</v>
      </c>
      <c r="J1161" s="181">
        <v>1000</v>
      </c>
      <c r="K1161" s="181">
        <f t="shared" si="272"/>
        <v>22600</v>
      </c>
      <c r="L1161" s="181">
        <v>0</v>
      </c>
      <c r="M1161" s="181">
        <f t="shared" si="273"/>
        <v>22600</v>
      </c>
      <c r="N1161" s="334" t="s">
        <v>25</v>
      </c>
    </row>
    <row r="1162" spans="1:14" ht="15" customHeight="1" x14ac:dyDescent="0.25">
      <c r="A1162" s="163">
        <v>46019</v>
      </c>
      <c r="B1162" s="184" t="s">
        <v>51</v>
      </c>
      <c r="C1162" s="184">
        <v>31.9</v>
      </c>
      <c r="D1162" s="184">
        <v>9.39</v>
      </c>
      <c r="E1162" s="184">
        <f t="shared" si="270"/>
        <v>22.509999999999998</v>
      </c>
      <c r="F1162" s="184" t="s">
        <v>38</v>
      </c>
      <c r="G1162" s="330" t="s">
        <v>725</v>
      </c>
      <c r="H1162" s="139">
        <v>1300</v>
      </c>
      <c r="I1162" s="139">
        <f t="shared" si="271"/>
        <v>29262.999999999996</v>
      </c>
      <c r="J1162" s="139">
        <v>0</v>
      </c>
      <c r="K1162" s="139">
        <f t="shared" si="272"/>
        <v>29262.999999999996</v>
      </c>
      <c r="L1162" s="139">
        <v>0</v>
      </c>
      <c r="M1162" s="139">
        <f t="shared" si="273"/>
        <v>29262.999999999996</v>
      </c>
      <c r="N1162" s="331" t="s">
        <v>44</v>
      </c>
    </row>
    <row r="1163" spans="1:14" ht="15" customHeight="1" x14ac:dyDescent="0.25">
      <c r="A1163" s="163">
        <v>46019</v>
      </c>
      <c r="B1163" s="184" t="s">
        <v>22</v>
      </c>
      <c r="C1163" s="184">
        <v>29.12</v>
      </c>
      <c r="D1163" s="184">
        <v>9.83</v>
      </c>
      <c r="E1163" s="184">
        <f t="shared" si="270"/>
        <v>19.29</v>
      </c>
      <c r="F1163" s="184" t="s">
        <v>23</v>
      </c>
      <c r="G1163" s="330" t="s">
        <v>725</v>
      </c>
      <c r="H1163" s="139">
        <v>1300</v>
      </c>
      <c r="I1163" s="139">
        <f t="shared" si="271"/>
        <v>25077</v>
      </c>
      <c r="J1163" s="139">
        <v>0</v>
      </c>
      <c r="K1163" s="139">
        <f t="shared" si="272"/>
        <v>25077</v>
      </c>
      <c r="L1163" s="139">
        <v>0</v>
      </c>
      <c r="M1163" s="139">
        <f t="shared" si="273"/>
        <v>25077</v>
      </c>
      <c r="N1163" s="331" t="s">
        <v>44</v>
      </c>
    </row>
    <row r="1164" spans="1:14" ht="15" customHeight="1" x14ac:dyDescent="0.25">
      <c r="A1164" s="163">
        <v>46019</v>
      </c>
      <c r="B1164" s="184" t="s">
        <v>92</v>
      </c>
      <c r="C1164" s="184">
        <v>7.9</v>
      </c>
      <c r="D1164" s="184">
        <v>3.26</v>
      </c>
      <c r="E1164" s="184">
        <f t="shared" si="270"/>
        <v>4.6400000000000006</v>
      </c>
      <c r="F1164" s="184" t="s">
        <v>23</v>
      </c>
      <c r="G1164" s="330" t="s">
        <v>188</v>
      </c>
      <c r="H1164" s="139">
        <v>1400</v>
      </c>
      <c r="I1164" s="139">
        <f t="shared" si="271"/>
        <v>6496.0000000000009</v>
      </c>
      <c r="J1164" s="139">
        <v>0</v>
      </c>
      <c r="K1164" s="139">
        <f t="shared" si="272"/>
        <v>6496.0000000000009</v>
      </c>
      <c r="L1164" s="139">
        <v>96</v>
      </c>
      <c r="M1164" s="139">
        <f t="shared" si="273"/>
        <v>6400.0000000000009</v>
      </c>
      <c r="N1164" s="331" t="s">
        <v>20</v>
      </c>
    </row>
    <row r="1165" spans="1:14" ht="15" customHeight="1" x14ac:dyDescent="0.25">
      <c r="A1165" s="163">
        <v>46019</v>
      </c>
      <c r="B1165" s="184" t="s">
        <v>67</v>
      </c>
      <c r="C1165" s="184">
        <v>30.93</v>
      </c>
      <c r="D1165" s="184">
        <v>9.7100000000000009</v>
      </c>
      <c r="E1165" s="184">
        <f t="shared" si="270"/>
        <v>21.22</v>
      </c>
      <c r="F1165" s="184" t="s">
        <v>23</v>
      </c>
      <c r="G1165" s="330" t="s">
        <v>921</v>
      </c>
      <c r="H1165" s="139">
        <v>1400</v>
      </c>
      <c r="I1165" s="139">
        <f t="shared" si="271"/>
        <v>29708</v>
      </c>
      <c r="J1165" s="139">
        <v>0</v>
      </c>
      <c r="K1165" s="139">
        <f t="shared" si="272"/>
        <v>29708</v>
      </c>
      <c r="L1165" s="139">
        <v>0</v>
      </c>
      <c r="M1165" s="139">
        <f t="shared" si="273"/>
        <v>29708</v>
      </c>
      <c r="N1165" s="331" t="s">
        <v>44</v>
      </c>
    </row>
    <row r="1166" spans="1:14" ht="15" customHeight="1" x14ac:dyDescent="0.25">
      <c r="A1166" s="163">
        <v>46019</v>
      </c>
      <c r="B1166" s="184" t="s">
        <v>112</v>
      </c>
      <c r="C1166" s="184">
        <v>8.8699999999999992</v>
      </c>
      <c r="D1166" s="184">
        <v>3.31</v>
      </c>
      <c r="E1166" s="184">
        <f t="shared" si="270"/>
        <v>5.5599999999999987</v>
      </c>
      <c r="F1166" s="184" t="s">
        <v>23</v>
      </c>
      <c r="G1166" s="330" t="s">
        <v>753</v>
      </c>
      <c r="H1166" s="139">
        <v>1400</v>
      </c>
      <c r="I1166" s="139">
        <f t="shared" si="271"/>
        <v>7783.9999999999982</v>
      </c>
      <c r="J1166" s="139">
        <v>0</v>
      </c>
      <c r="K1166" s="139">
        <f t="shared" si="272"/>
        <v>7783.9999999999982</v>
      </c>
      <c r="L1166" s="139">
        <v>84</v>
      </c>
      <c r="M1166" s="139">
        <f t="shared" si="273"/>
        <v>7699.9999999999982</v>
      </c>
      <c r="N1166" s="331" t="s">
        <v>20</v>
      </c>
    </row>
    <row r="1167" spans="1:14" ht="15" customHeight="1" thickBot="1" x14ac:dyDescent="0.3">
      <c r="A1167" s="166">
        <v>46019</v>
      </c>
      <c r="B1167" s="206" t="s">
        <v>949</v>
      </c>
      <c r="C1167" s="206">
        <v>7.56</v>
      </c>
      <c r="D1167" s="206">
        <v>3.09</v>
      </c>
      <c r="E1167" s="206">
        <f t="shared" si="270"/>
        <v>4.47</v>
      </c>
      <c r="F1167" s="206" t="s">
        <v>23</v>
      </c>
      <c r="G1167" s="332" t="s">
        <v>951</v>
      </c>
      <c r="H1167" s="146">
        <v>1400</v>
      </c>
      <c r="I1167" s="146">
        <f t="shared" si="271"/>
        <v>6258</v>
      </c>
      <c r="J1167" s="146">
        <v>0</v>
      </c>
      <c r="K1167" s="146">
        <f t="shared" si="272"/>
        <v>6258</v>
      </c>
      <c r="L1167" s="146">
        <v>8</v>
      </c>
      <c r="M1167" s="146">
        <f t="shared" si="273"/>
        <v>6250</v>
      </c>
      <c r="N1167" s="352" t="s">
        <v>20</v>
      </c>
    </row>
    <row r="1168" spans="1:14" ht="15" customHeight="1" x14ac:dyDescent="0.25">
      <c r="A1168" s="159">
        <v>46020</v>
      </c>
      <c r="B1168" s="180" t="s">
        <v>952</v>
      </c>
      <c r="C1168" s="180">
        <v>15.24</v>
      </c>
      <c r="D1168" s="180">
        <v>6.68</v>
      </c>
      <c r="E1168" s="180">
        <f t="shared" si="270"/>
        <v>8.56</v>
      </c>
      <c r="F1168" s="180" t="s">
        <v>23</v>
      </c>
      <c r="G1168" s="333" t="s">
        <v>953</v>
      </c>
      <c r="H1168" s="181">
        <v>1400</v>
      </c>
      <c r="I1168" s="181">
        <f t="shared" si="271"/>
        <v>11984</v>
      </c>
      <c r="J1168" s="181">
        <v>0</v>
      </c>
      <c r="K1168" s="181">
        <f t="shared" si="272"/>
        <v>11984</v>
      </c>
      <c r="L1168" s="181">
        <v>84</v>
      </c>
      <c r="M1168" s="181">
        <f t="shared" si="273"/>
        <v>11900</v>
      </c>
      <c r="N1168" s="334" t="s">
        <v>25</v>
      </c>
    </row>
    <row r="1169" spans="1:14" ht="15" customHeight="1" thickBot="1" x14ac:dyDescent="0.3">
      <c r="A1169" s="166">
        <v>46020</v>
      </c>
      <c r="B1169" s="206" t="s">
        <v>67</v>
      </c>
      <c r="C1169" s="206">
        <v>18.579999999999998</v>
      </c>
      <c r="D1169" s="206">
        <v>9.76</v>
      </c>
      <c r="E1169" s="206">
        <f t="shared" si="270"/>
        <v>8.8199999999999985</v>
      </c>
      <c r="F1169" s="206" t="s">
        <v>23</v>
      </c>
      <c r="G1169" s="332" t="s">
        <v>37</v>
      </c>
      <c r="H1169" s="146">
        <v>1350</v>
      </c>
      <c r="I1169" s="146">
        <f t="shared" si="271"/>
        <v>11906.999999999998</v>
      </c>
      <c r="J1169" s="146">
        <v>1500</v>
      </c>
      <c r="K1169" s="146">
        <f t="shared" si="272"/>
        <v>13406.999999999998</v>
      </c>
      <c r="L1169" s="146">
        <v>0</v>
      </c>
      <c r="M1169" s="146">
        <f t="shared" si="273"/>
        <v>13406.999999999998</v>
      </c>
      <c r="N1169" s="352" t="s">
        <v>25</v>
      </c>
    </row>
    <row r="1170" spans="1:14" ht="15" customHeight="1" x14ac:dyDescent="0.25">
      <c r="A1170" s="159">
        <v>46021</v>
      </c>
      <c r="B1170" s="180" t="s">
        <v>22</v>
      </c>
      <c r="C1170" s="180">
        <v>30.78</v>
      </c>
      <c r="D1170" s="180">
        <v>9.1199999999999992</v>
      </c>
      <c r="E1170" s="180">
        <f t="shared" si="270"/>
        <v>21.660000000000004</v>
      </c>
      <c r="F1170" s="180" t="s">
        <v>38</v>
      </c>
      <c r="G1170" s="333" t="s">
        <v>725</v>
      </c>
      <c r="H1170" s="181">
        <v>1300</v>
      </c>
      <c r="I1170" s="181">
        <f t="shared" ref="I1170:I1172" si="274">H1170*E1170</f>
        <v>28158.000000000004</v>
      </c>
      <c r="J1170" s="181">
        <v>0</v>
      </c>
      <c r="K1170" s="181">
        <f t="shared" ref="K1170:K1172" si="275">I1170+J1170</f>
        <v>28158.000000000004</v>
      </c>
      <c r="L1170" s="181">
        <v>0</v>
      </c>
      <c r="M1170" s="181">
        <f t="shared" ref="M1170:M1172" si="276">K1170-L1170</f>
        <v>28158.000000000004</v>
      </c>
      <c r="N1170" s="334" t="s">
        <v>44</v>
      </c>
    </row>
    <row r="1171" spans="1:14" ht="15" customHeight="1" x14ac:dyDescent="0.25">
      <c r="A1171" s="163">
        <v>46021</v>
      </c>
      <c r="B1171" s="184" t="s">
        <v>67</v>
      </c>
      <c r="C1171" s="184">
        <v>28.13</v>
      </c>
      <c r="D1171" s="184">
        <v>9.7799999999999994</v>
      </c>
      <c r="E1171" s="184">
        <f t="shared" si="270"/>
        <v>18.350000000000001</v>
      </c>
      <c r="F1171" s="184" t="s">
        <v>23</v>
      </c>
      <c r="G1171" s="330" t="s">
        <v>725</v>
      </c>
      <c r="H1171" s="139">
        <v>1300</v>
      </c>
      <c r="I1171" s="139">
        <f t="shared" si="274"/>
        <v>23855.000000000004</v>
      </c>
      <c r="J1171" s="139">
        <v>0</v>
      </c>
      <c r="K1171" s="139">
        <f t="shared" si="275"/>
        <v>23855.000000000004</v>
      </c>
      <c r="L1171" s="139">
        <v>0</v>
      </c>
      <c r="M1171" s="139">
        <f t="shared" si="276"/>
        <v>23855.000000000004</v>
      </c>
      <c r="N1171" s="331" t="s">
        <v>44</v>
      </c>
    </row>
    <row r="1172" spans="1:14" ht="15" customHeight="1" thickBot="1" x14ac:dyDescent="0.3">
      <c r="A1172" s="166">
        <v>46021</v>
      </c>
      <c r="B1172" s="206" t="s">
        <v>67</v>
      </c>
      <c r="C1172" s="206">
        <v>30.35</v>
      </c>
      <c r="D1172" s="206">
        <v>9.5399999999999991</v>
      </c>
      <c r="E1172" s="206">
        <f t="shared" si="270"/>
        <v>20.810000000000002</v>
      </c>
      <c r="F1172" s="206" t="s">
        <v>35</v>
      </c>
      <c r="G1172" s="332" t="s">
        <v>901</v>
      </c>
      <c r="H1172" s="146">
        <v>1125</v>
      </c>
      <c r="I1172" s="146">
        <f t="shared" si="274"/>
        <v>23411.250000000004</v>
      </c>
      <c r="J1172" s="146">
        <v>0</v>
      </c>
      <c r="K1172" s="146">
        <f t="shared" si="275"/>
        <v>23411.250000000004</v>
      </c>
      <c r="L1172" s="146">
        <v>0</v>
      </c>
      <c r="M1172" s="146">
        <f t="shared" si="276"/>
        <v>23411.250000000004</v>
      </c>
      <c r="N1172" s="352" t="s">
        <v>44</v>
      </c>
    </row>
    <row r="1173" spans="1:14" ht="15" customHeight="1" thickBot="1" x14ac:dyDescent="0.3">
      <c r="A1173" s="170"/>
      <c r="B1173" s="207"/>
      <c r="C1173" s="317">
        <f>SUM(C1019:C1172)</f>
        <v>4174.5599999999995</v>
      </c>
      <c r="D1173" s="317">
        <f>SUM(D1019:D1172)</f>
        <v>1380.2399999999996</v>
      </c>
      <c r="E1173" s="317">
        <f>SUM(E1019:E1172)</f>
        <v>2794.3200000000006</v>
      </c>
      <c r="F1173" s="207"/>
      <c r="G1173" s="207"/>
      <c r="H1173" s="207"/>
      <c r="I1173" s="172">
        <f t="shared" ref="I1173:M1173" si="277">SUM(I1019:I1172)</f>
        <v>3275941.7</v>
      </c>
      <c r="J1173" s="172">
        <f t="shared" si="277"/>
        <v>24900</v>
      </c>
      <c r="K1173" s="172">
        <f t="shared" si="277"/>
        <v>3300841.7</v>
      </c>
      <c r="L1173" s="172">
        <f t="shared" si="277"/>
        <v>900.5</v>
      </c>
      <c r="M1173" s="172">
        <f t="shared" si="277"/>
        <v>3299941.2</v>
      </c>
      <c r="N1173" s="173"/>
    </row>
    <row r="1175" spans="1:14" ht="15" customHeight="1" thickBot="1" x14ac:dyDescent="0.3"/>
    <row r="1176" spans="1:14" ht="24.75" customHeight="1" thickBot="1" x14ac:dyDescent="0.3">
      <c r="A1176" s="527" t="s">
        <v>1034</v>
      </c>
      <c r="B1176" s="528"/>
      <c r="C1176" s="528"/>
      <c r="D1176" s="528"/>
      <c r="E1176" s="528"/>
      <c r="F1176" s="528"/>
      <c r="G1176" s="528"/>
      <c r="H1176" s="528"/>
      <c r="I1176" s="528"/>
      <c r="J1176" s="528"/>
      <c r="K1176" s="528"/>
      <c r="L1176" s="528"/>
      <c r="M1176" s="528"/>
      <c r="N1176" s="529"/>
    </row>
    <row r="1177" spans="1:14" ht="15" customHeight="1" thickBot="1" x14ac:dyDescent="0.3">
      <c r="A1177" s="193" t="s">
        <v>1</v>
      </c>
      <c r="B1177" s="194" t="s">
        <v>2</v>
      </c>
      <c r="C1177" s="194" t="s">
        <v>3</v>
      </c>
      <c r="D1177" s="194" t="s">
        <v>4</v>
      </c>
      <c r="E1177" s="194" t="s">
        <v>5</v>
      </c>
      <c r="F1177" s="194" t="s">
        <v>6</v>
      </c>
      <c r="G1177" s="194" t="s">
        <v>7</v>
      </c>
      <c r="H1177" s="194" t="s">
        <v>8</v>
      </c>
      <c r="I1177" s="194" t="s">
        <v>9</v>
      </c>
      <c r="J1177" s="194" t="s">
        <v>10</v>
      </c>
      <c r="K1177" s="194" t="s">
        <v>11</v>
      </c>
      <c r="L1177" s="194" t="s">
        <v>12</v>
      </c>
      <c r="M1177" s="194" t="s">
        <v>13</v>
      </c>
      <c r="N1177" s="195" t="s">
        <v>14</v>
      </c>
    </row>
    <row r="1178" spans="1:14" ht="15" customHeight="1" x14ac:dyDescent="0.25">
      <c r="A1178" s="159">
        <v>46024</v>
      </c>
      <c r="B1178" s="180" t="s">
        <v>67</v>
      </c>
      <c r="C1178" s="180">
        <v>32.549999999999997</v>
      </c>
      <c r="D1178" s="180">
        <v>9.5500000000000007</v>
      </c>
      <c r="E1178" s="180">
        <f t="shared" ref="E1178:E1239" si="278">C1178-D1178</f>
        <v>22.999999999999996</v>
      </c>
      <c r="F1178" s="180" t="s">
        <v>35</v>
      </c>
      <c r="G1178" s="395" t="s">
        <v>929</v>
      </c>
      <c r="H1178" s="356">
        <v>1125</v>
      </c>
      <c r="I1178" s="356">
        <f t="shared" ref="I1178:I1179" si="279">H1178*E1178</f>
        <v>25874.999999999996</v>
      </c>
      <c r="J1178" s="356">
        <v>0</v>
      </c>
      <c r="K1178" s="356">
        <f t="shared" ref="K1178:K1179" si="280">I1178+J1178</f>
        <v>25874.999999999996</v>
      </c>
      <c r="L1178" s="356">
        <v>0</v>
      </c>
      <c r="M1178" s="356">
        <f t="shared" ref="M1178:M1179" si="281">K1178-L1178</f>
        <v>25874.999999999996</v>
      </c>
      <c r="N1178" s="357" t="s">
        <v>44</v>
      </c>
    </row>
    <row r="1179" spans="1:14" ht="15" customHeight="1" x14ac:dyDescent="0.25">
      <c r="A1179" s="163">
        <v>46024</v>
      </c>
      <c r="B1179" s="184" t="s">
        <v>67</v>
      </c>
      <c r="C1179" s="184">
        <v>29.86</v>
      </c>
      <c r="D1179" s="184">
        <v>9.5399999999999991</v>
      </c>
      <c r="E1179" s="184">
        <f t="shared" si="278"/>
        <v>20.32</v>
      </c>
      <c r="F1179" s="184" t="s">
        <v>23</v>
      </c>
      <c r="G1179" s="393" t="s">
        <v>1035</v>
      </c>
      <c r="H1179" s="139">
        <v>1300</v>
      </c>
      <c r="I1179" s="139">
        <f t="shared" si="279"/>
        <v>26416</v>
      </c>
      <c r="J1179" s="139">
        <v>0</v>
      </c>
      <c r="K1179" s="139">
        <f t="shared" si="280"/>
        <v>26416</v>
      </c>
      <c r="L1179" s="139">
        <v>0</v>
      </c>
      <c r="M1179" s="139">
        <f t="shared" si="281"/>
        <v>26416</v>
      </c>
      <c r="N1179" s="331" t="s">
        <v>44</v>
      </c>
    </row>
    <row r="1180" spans="1:14" ht="15" customHeight="1" thickBot="1" x14ac:dyDescent="0.3">
      <c r="A1180" s="209">
        <v>46024</v>
      </c>
      <c r="B1180" s="187" t="s">
        <v>67</v>
      </c>
      <c r="C1180" s="187">
        <v>28.96</v>
      </c>
      <c r="D1180" s="187">
        <v>9.7899999999999991</v>
      </c>
      <c r="E1180" s="187">
        <f t="shared" si="278"/>
        <v>19.170000000000002</v>
      </c>
      <c r="F1180" s="187" t="s">
        <v>38</v>
      </c>
      <c r="G1180" s="396" t="s">
        <v>1035</v>
      </c>
      <c r="H1180" s="188">
        <v>500</v>
      </c>
      <c r="I1180" s="188">
        <f t="shared" ref="I1180:I1181" si="282">H1180*E1180</f>
        <v>9585</v>
      </c>
      <c r="J1180" s="188">
        <v>0</v>
      </c>
      <c r="K1180" s="188">
        <f t="shared" ref="K1180:K1181" si="283">I1180+J1180</f>
        <v>9585</v>
      </c>
      <c r="L1180" s="188">
        <v>0</v>
      </c>
      <c r="M1180" s="188">
        <f t="shared" ref="M1180:M1181" si="284">K1180-L1180</f>
        <v>9585</v>
      </c>
      <c r="N1180" s="397" t="s">
        <v>44</v>
      </c>
    </row>
    <row r="1181" spans="1:14" ht="15" customHeight="1" x14ac:dyDescent="0.25">
      <c r="A1181" s="159">
        <v>46025</v>
      </c>
      <c r="B1181" s="180" t="s">
        <v>22</v>
      </c>
      <c r="C1181" s="180">
        <v>28.71</v>
      </c>
      <c r="D1181" s="180">
        <v>9.4</v>
      </c>
      <c r="E1181" s="180">
        <f t="shared" si="278"/>
        <v>19.310000000000002</v>
      </c>
      <c r="F1181" s="180" t="s">
        <v>23</v>
      </c>
      <c r="G1181" s="395" t="s">
        <v>1035</v>
      </c>
      <c r="H1181" s="181">
        <v>1300</v>
      </c>
      <c r="I1181" s="181">
        <f t="shared" si="282"/>
        <v>25103.000000000004</v>
      </c>
      <c r="J1181" s="181">
        <v>0</v>
      </c>
      <c r="K1181" s="181">
        <f t="shared" si="283"/>
        <v>25103.000000000004</v>
      </c>
      <c r="L1181" s="181">
        <v>0</v>
      </c>
      <c r="M1181" s="181">
        <f t="shared" si="284"/>
        <v>25103.000000000004</v>
      </c>
      <c r="N1181" s="334" t="s">
        <v>44</v>
      </c>
    </row>
    <row r="1182" spans="1:14" ht="15" customHeight="1" x14ac:dyDescent="0.25">
      <c r="A1182" s="163">
        <v>46025</v>
      </c>
      <c r="B1182" s="184" t="s">
        <v>49</v>
      </c>
      <c r="C1182" s="184">
        <v>29.11</v>
      </c>
      <c r="D1182" s="184">
        <v>9.5</v>
      </c>
      <c r="E1182" s="184">
        <f t="shared" si="278"/>
        <v>19.61</v>
      </c>
      <c r="F1182" s="184" t="s">
        <v>23</v>
      </c>
      <c r="G1182" s="393" t="s">
        <v>1035</v>
      </c>
      <c r="H1182" s="139">
        <v>1300</v>
      </c>
      <c r="I1182" s="139">
        <f t="shared" ref="I1182:I1183" si="285">H1182*E1182</f>
        <v>25493</v>
      </c>
      <c r="J1182" s="139">
        <v>0</v>
      </c>
      <c r="K1182" s="139">
        <f t="shared" ref="K1182:K1183" si="286">I1182+J1182</f>
        <v>25493</v>
      </c>
      <c r="L1182" s="139">
        <v>0</v>
      </c>
      <c r="M1182" s="139">
        <f t="shared" ref="M1182:M1183" si="287">K1182-L1182</f>
        <v>25493</v>
      </c>
      <c r="N1182" s="331" t="s">
        <v>44</v>
      </c>
    </row>
    <row r="1183" spans="1:14" ht="15" customHeight="1" x14ac:dyDescent="0.25">
      <c r="A1183" s="163">
        <v>46025</v>
      </c>
      <c r="B1183" s="184" t="s">
        <v>92</v>
      </c>
      <c r="C1183" s="184">
        <v>8.26</v>
      </c>
      <c r="D1183" s="184">
        <v>3.21</v>
      </c>
      <c r="E1183" s="184">
        <f t="shared" si="278"/>
        <v>5.05</v>
      </c>
      <c r="F1183" s="184" t="s">
        <v>23</v>
      </c>
      <c r="G1183" s="184" t="s">
        <v>1037</v>
      </c>
      <c r="H1183" s="139">
        <v>1400</v>
      </c>
      <c r="I1183" s="139">
        <f t="shared" si="285"/>
        <v>7070</v>
      </c>
      <c r="J1183" s="139">
        <v>0</v>
      </c>
      <c r="K1183" s="139">
        <f t="shared" si="286"/>
        <v>7070</v>
      </c>
      <c r="L1183" s="139">
        <v>70</v>
      </c>
      <c r="M1183" s="139">
        <f t="shared" si="287"/>
        <v>7000</v>
      </c>
      <c r="N1183" s="331" t="s">
        <v>25</v>
      </c>
    </row>
    <row r="1184" spans="1:14" ht="15" customHeight="1" x14ac:dyDescent="0.25">
      <c r="A1184" s="163">
        <v>46025</v>
      </c>
      <c r="B1184" s="184" t="s">
        <v>51</v>
      </c>
      <c r="C1184" s="184">
        <v>29.05</v>
      </c>
      <c r="D1184" s="184">
        <v>9.08</v>
      </c>
      <c r="E1184" s="184">
        <f t="shared" si="278"/>
        <v>19.97</v>
      </c>
      <c r="F1184" s="184" t="s">
        <v>23</v>
      </c>
      <c r="G1184" s="184" t="s">
        <v>117</v>
      </c>
      <c r="H1184" s="139">
        <v>1225</v>
      </c>
      <c r="I1184" s="139">
        <f t="shared" ref="I1184" si="288">H1184*E1184</f>
        <v>24463.25</v>
      </c>
      <c r="J1184" s="139">
        <v>0</v>
      </c>
      <c r="K1184" s="139">
        <f t="shared" ref="K1184" si="289">I1184+J1184</f>
        <v>24463.25</v>
      </c>
      <c r="L1184" s="139">
        <v>0</v>
      </c>
      <c r="M1184" s="139">
        <f t="shared" ref="M1184" si="290">K1184-L1184</f>
        <v>24463.25</v>
      </c>
      <c r="N1184" s="327" t="s">
        <v>44</v>
      </c>
    </row>
    <row r="1185" spans="1:14" ht="15" customHeight="1" x14ac:dyDescent="0.25">
      <c r="A1185" s="163">
        <v>46025</v>
      </c>
      <c r="B1185" s="184" t="s">
        <v>67</v>
      </c>
      <c r="C1185" s="184">
        <v>31.57</v>
      </c>
      <c r="D1185" s="184">
        <v>9.3000000000000007</v>
      </c>
      <c r="E1185" s="184">
        <f t="shared" si="278"/>
        <v>22.27</v>
      </c>
      <c r="F1185" s="184" t="s">
        <v>23</v>
      </c>
      <c r="G1185" s="184" t="s">
        <v>117</v>
      </c>
      <c r="H1185" s="139">
        <v>1225</v>
      </c>
      <c r="I1185" s="139">
        <f t="shared" ref="I1185:I1186" si="291">H1185*E1185</f>
        <v>27280.75</v>
      </c>
      <c r="J1185" s="139">
        <v>0</v>
      </c>
      <c r="K1185" s="139">
        <f t="shared" ref="K1185:K1186" si="292">I1185+J1185</f>
        <v>27280.75</v>
      </c>
      <c r="L1185" s="139">
        <v>0</v>
      </c>
      <c r="M1185" s="139">
        <f t="shared" ref="M1185:M1186" si="293">K1185-L1185</f>
        <v>27280.75</v>
      </c>
      <c r="N1185" s="327" t="s">
        <v>44</v>
      </c>
    </row>
    <row r="1186" spans="1:14" ht="15" customHeight="1" x14ac:dyDescent="0.25">
      <c r="A1186" s="163">
        <v>46025</v>
      </c>
      <c r="B1186" s="184" t="s">
        <v>181</v>
      </c>
      <c r="C1186" s="184">
        <v>7.77</v>
      </c>
      <c r="D1186" s="184">
        <v>2.97</v>
      </c>
      <c r="E1186" s="184">
        <f t="shared" si="278"/>
        <v>4.7999999999999989</v>
      </c>
      <c r="F1186" s="184" t="s">
        <v>18</v>
      </c>
      <c r="G1186" s="184" t="s">
        <v>1038</v>
      </c>
      <c r="H1186" s="139">
        <v>1200</v>
      </c>
      <c r="I1186" s="139">
        <f t="shared" si="291"/>
        <v>5759.9999999999991</v>
      </c>
      <c r="J1186" s="139">
        <v>0</v>
      </c>
      <c r="K1186" s="139">
        <f t="shared" si="292"/>
        <v>5759.9999999999991</v>
      </c>
      <c r="L1186" s="139">
        <v>0</v>
      </c>
      <c r="M1186" s="139">
        <f t="shared" si="293"/>
        <v>5759.9999999999991</v>
      </c>
      <c r="N1186" s="327" t="s">
        <v>20</v>
      </c>
    </row>
    <row r="1187" spans="1:14" ht="15" customHeight="1" x14ac:dyDescent="0.25">
      <c r="A1187" s="163">
        <v>46025</v>
      </c>
      <c r="B1187" s="184" t="s">
        <v>67</v>
      </c>
      <c r="C1187" s="184">
        <v>29.9</v>
      </c>
      <c r="D1187" s="184">
        <v>9.68</v>
      </c>
      <c r="E1187" s="184">
        <f t="shared" si="278"/>
        <v>20.22</v>
      </c>
      <c r="F1187" s="184" t="s">
        <v>35</v>
      </c>
      <c r="G1187" s="184" t="s">
        <v>597</v>
      </c>
      <c r="H1187" s="139">
        <v>1200</v>
      </c>
      <c r="I1187" s="139">
        <f t="shared" ref="I1187" si="294">H1187*E1187</f>
        <v>24264</v>
      </c>
      <c r="J1187" s="139">
        <v>0</v>
      </c>
      <c r="K1187" s="139">
        <f t="shared" ref="K1187" si="295">I1187+J1187</f>
        <v>24264</v>
      </c>
      <c r="L1187" s="139">
        <v>0</v>
      </c>
      <c r="M1187" s="139">
        <f t="shared" ref="M1187" si="296">K1187-L1187</f>
        <v>24264</v>
      </c>
      <c r="N1187" s="394" t="s">
        <v>44</v>
      </c>
    </row>
    <row r="1188" spans="1:14" ht="15" customHeight="1" x14ac:dyDescent="0.25">
      <c r="A1188" s="163">
        <v>46025</v>
      </c>
      <c r="B1188" s="184" t="s">
        <v>49</v>
      </c>
      <c r="C1188" s="184">
        <v>28.42</v>
      </c>
      <c r="D1188" s="184">
        <v>9.86</v>
      </c>
      <c r="E1188" s="184">
        <f t="shared" si="278"/>
        <v>18.560000000000002</v>
      </c>
      <c r="F1188" s="184" t="s">
        <v>35</v>
      </c>
      <c r="G1188" s="184" t="s">
        <v>597</v>
      </c>
      <c r="H1188" s="139">
        <v>1200</v>
      </c>
      <c r="I1188" s="139">
        <f t="shared" ref="I1188:I1196" si="297">H1188*E1188</f>
        <v>22272.000000000004</v>
      </c>
      <c r="J1188" s="139">
        <v>0</v>
      </c>
      <c r="K1188" s="139">
        <f t="shared" ref="K1188:K1196" si="298">I1188+J1188</f>
        <v>22272.000000000004</v>
      </c>
      <c r="L1188" s="139">
        <v>0</v>
      </c>
      <c r="M1188" s="139">
        <f t="shared" ref="M1188:M1196" si="299">K1188-L1188</f>
        <v>22272.000000000004</v>
      </c>
      <c r="N1188" s="394" t="s">
        <v>44</v>
      </c>
    </row>
    <row r="1189" spans="1:14" ht="15" customHeight="1" thickBot="1" x14ac:dyDescent="0.3">
      <c r="A1189" s="209">
        <v>46025</v>
      </c>
      <c r="B1189" s="187" t="s">
        <v>1036</v>
      </c>
      <c r="C1189" s="187">
        <v>7.67</v>
      </c>
      <c r="D1189" s="187">
        <v>3.26</v>
      </c>
      <c r="E1189" s="187">
        <f t="shared" si="278"/>
        <v>4.41</v>
      </c>
      <c r="F1189" s="187" t="s">
        <v>35</v>
      </c>
      <c r="G1189" s="187" t="s">
        <v>1039</v>
      </c>
      <c r="H1189" s="188">
        <v>1250</v>
      </c>
      <c r="I1189" s="188">
        <f t="shared" si="297"/>
        <v>5512.5</v>
      </c>
      <c r="J1189" s="188">
        <v>0</v>
      </c>
      <c r="K1189" s="188">
        <f t="shared" si="298"/>
        <v>5512.5</v>
      </c>
      <c r="L1189" s="188">
        <v>12.5</v>
      </c>
      <c r="M1189" s="188">
        <f t="shared" si="299"/>
        <v>5500</v>
      </c>
      <c r="N1189" s="398" t="s">
        <v>25</v>
      </c>
    </row>
    <row r="1190" spans="1:14" ht="15" customHeight="1" thickBot="1" x14ac:dyDescent="0.3">
      <c r="A1190" s="401">
        <v>46026</v>
      </c>
      <c r="B1190" s="353" t="s">
        <v>49</v>
      </c>
      <c r="C1190" s="353">
        <v>28.5</v>
      </c>
      <c r="D1190" s="353">
        <v>9.9700000000000006</v>
      </c>
      <c r="E1190" s="353">
        <f t="shared" si="278"/>
        <v>18.53</v>
      </c>
      <c r="F1190" s="353" t="s">
        <v>18</v>
      </c>
      <c r="G1190" s="353" t="s">
        <v>1040</v>
      </c>
      <c r="H1190" s="356">
        <v>1200</v>
      </c>
      <c r="I1190" s="356">
        <f t="shared" si="297"/>
        <v>22236</v>
      </c>
      <c r="J1190" s="356">
        <v>1000</v>
      </c>
      <c r="K1190" s="356">
        <f t="shared" si="298"/>
        <v>23236</v>
      </c>
      <c r="L1190" s="356">
        <v>0</v>
      </c>
      <c r="M1190" s="356">
        <f t="shared" si="299"/>
        <v>23236</v>
      </c>
      <c r="N1190" s="402" t="s">
        <v>25</v>
      </c>
    </row>
    <row r="1191" spans="1:14" ht="15" customHeight="1" x14ac:dyDescent="0.25">
      <c r="A1191" s="159">
        <v>46027</v>
      </c>
      <c r="B1191" s="180" t="s">
        <v>51</v>
      </c>
      <c r="C1191" s="180">
        <v>29.28</v>
      </c>
      <c r="D1191" s="180">
        <v>9.35</v>
      </c>
      <c r="E1191" s="180">
        <f t="shared" si="278"/>
        <v>19.93</v>
      </c>
      <c r="F1191" s="180" t="s">
        <v>23</v>
      </c>
      <c r="G1191" s="180" t="s">
        <v>752</v>
      </c>
      <c r="H1191" s="181">
        <v>1300</v>
      </c>
      <c r="I1191" s="181">
        <f t="shared" si="297"/>
        <v>25909</v>
      </c>
      <c r="J1191" s="181">
        <v>0</v>
      </c>
      <c r="K1191" s="181">
        <f t="shared" si="298"/>
        <v>25909</v>
      </c>
      <c r="L1191" s="181">
        <v>0</v>
      </c>
      <c r="M1191" s="181">
        <f t="shared" si="299"/>
        <v>25909</v>
      </c>
      <c r="N1191" s="334" t="s">
        <v>44</v>
      </c>
    </row>
    <row r="1192" spans="1:14" ht="15" customHeight="1" x14ac:dyDescent="0.25">
      <c r="A1192" s="163">
        <v>46027</v>
      </c>
      <c r="B1192" s="184" t="s">
        <v>47</v>
      </c>
      <c r="C1192" s="184">
        <v>30.55</v>
      </c>
      <c r="D1192" s="184">
        <v>9.2100000000000009</v>
      </c>
      <c r="E1192" s="184">
        <f t="shared" si="278"/>
        <v>21.34</v>
      </c>
      <c r="F1192" s="184" t="s">
        <v>38</v>
      </c>
      <c r="G1192" s="184" t="s">
        <v>1041</v>
      </c>
      <c r="H1192" s="139">
        <v>500</v>
      </c>
      <c r="I1192" s="139">
        <f t="shared" si="297"/>
        <v>10670</v>
      </c>
      <c r="J1192" s="139">
        <v>0</v>
      </c>
      <c r="K1192" s="139">
        <f t="shared" si="298"/>
        <v>10670</v>
      </c>
      <c r="L1192" s="139">
        <v>0</v>
      </c>
      <c r="M1192" s="139">
        <f t="shared" si="299"/>
        <v>10670</v>
      </c>
      <c r="N1192" s="331" t="s">
        <v>44</v>
      </c>
    </row>
    <row r="1193" spans="1:14" ht="15" customHeight="1" x14ac:dyDescent="0.25">
      <c r="A1193" s="163">
        <v>46027</v>
      </c>
      <c r="B1193" s="184" t="s">
        <v>67</v>
      </c>
      <c r="C1193" s="184">
        <v>15.48</v>
      </c>
      <c r="D1193" s="184">
        <v>9.58</v>
      </c>
      <c r="E1193" s="184">
        <f t="shared" si="278"/>
        <v>5.9</v>
      </c>
      <c r="F1193" s="184" t="s">
        <v>23</v>
      </c>
      <c r="G1193" s="184" t="s">
        <v>1042</v>
      </c>
      <c r="H1193" s="139">
        <v>1400</v>
      </c>
      <c r="I1193" s="139">
        <f t="shared" si="297"/>
        <v>8260</v>
      </c>
      <c r="J1193" s="139">
        <v>1000</v>
      </c>
      <c r="K1193" s="139">
        <f t="shared" si="298"/>
        <v>9260</v>
      </c>
      <c r="L1193" s="139">
        <v>0</v>
      </c>
      <c r="M1193" s="139">
        <f t="shared" si="299"/>
        <v>9260</v>
      </c>
      <c r="N1193" s="394" t="s">
        <v>25</v>
      </c>
    </row>
    <row r="1194" spans="1:14" ht="15" customHeight="1" thickBot="1" x14ac:dyDescent="0.3">
      <c r="A1194" s="209">
        <v>46027</v>
      </c>
      <c r="B1194" s="187" t="s">
        <v>47</v>
      </c>
      <c r="C1194" s="187">
        <v>30.59</v>
      </c>
      <c r="D1194" s="187">
        <v>9.41</v>
      </c>
      <c r="E1194" s="187">
        <f t="shared" si="278"/>
        <v>21.18</v>
      </c>
      <c r="F1194" s="187" t="s">
        <v>23</v>
      </c>
      <c r="G1194" s="187" t="s">
        <v>1041</v>
      </c>
      <c r="H1194" s="188">
        <v>1400</v>
      </c>
      <c r="I1194" s="188">
        <f t="shared" si="297"/>
        <v>29652</v>
      </c>
      <c r="J1194" s="188">
        <v>0</v>
      </c>
      <c r="K1194" s="188">
        <f t="shared" si="298"/>
        <v>29652</v>
      </c>
      <c r="L1194" s="188">
        <v>0</v>
      </c>
      <c r="M1194" s="188">
        <f t="shared" si="299"/>
        <v>29652</v>
      </c>
      <c r="N1194" s="398" t="s">
        <v>44</v>
      </c>
    </row>
    <row r="1195" spans="1:14" ht="15" customHeight="1" thickBot="1" x14ac:dyDescent="0.3">
      <c r="A1195" s="404">
        <v>46028</v>
      </c>
      <c r="B1195" s="353" t="s">
        <v>1043</v>
      </c>
      <c r="C1195" s="353">
        <v>13.73</v>
      </c>
      <c r="D1195" s="353">
        <v>6.32</v>
      </c>
      <c r="E1195" s="353">
        <f t="shared" si="278"/>
        <v>7.41</v>
      </c>
      <c r="F1195" s="353" t="s">
        <v>23</v>
      </c>
      <c r="G1195" s="353" t="s">
        <v>1044</v>
      </c>
      <c r="H1195" s="356">
        <v>1400</v>
      </c>
      <c r="I1195" s="356">
        <f t="shared" si="297"/>
        <v>10374</v>
      </c>
      <c r="J1195" s="356">
        <v>0</v>
      </c>
      <c r="K1195" s="356">
        <f t="shared" si="298"/>
        <v>10374</v>
      </c>
      <c r="L1195" s="356">
        <v>74</v>
      </c>
      <c r="M1195" s="356">
        <f t="shared" si="299"/>
        <v>10300</v>
      </c>
      <c r="N1195" s="402" t="s">
        <v>20</v>
      </c>
    </row>
    <row r="1196" spans="1:14" ht="15" customHeight="1" x14ac:dyDescent="0.25">
      <c r="A1196" s="179">
        <v>46029</v>
      </c>
      <c r="B1196" s="180" t="s">
        <v>1045</v>
      </c>
      <c r="C1196" s="180">
        <v>6.82</v>
      </c>
      <c r="D1196" s="180">
        <v>2.98</v>
      </c>
      <c r="E1196" s="180">
        <f t="shared" si="278"/>
        <v>3.8400000000000003</v>
      </c>
      <c r="F1196" s="180" t="s">
        <v>23</v>
      </c>
      <c r="G1196" s="180" t="s">
        <v>1046</v>
      </c>
      <c r="H1196" s="181">
        <v>1400</v>
      </c>
      <c r="I1196" s="181">
        <f t="shared" si="297"/>
        <v>5376</v>
      </c>
      <c r="J1196" s="181">
        <v>0</v>
      </c>
      <c r="K1196" s="181">
        <f t="shared" si="298"/>
        <v>5376</v>
      </c>
      <c r="L1196" s="181">
        <v>26</v>
      </c>
      <c r="M1196" s="181">
        <f t="shared" si="299"/>
        <v>5350</v>
      </c>
      <c r="N1196" s="405" t="s">
        <v>20</v>
      </c>
    </row>
    <row r="1197" spans="1:14" ht="15" customHeight="1" thickBot="1" x14ac:dyDescent="0.3">
      <c r="A1197" s="214">
        <v>46029</v>
      </c>
      <c r="B1197" s="206" t="s">
        <v>67</v>
      </c>
      <c r="C1197" s="206">
        <v>31.62</v>
      </c>
      <c r="D1197" s="206">
        <v>9.32</v>
      </c>
      <c r="E1197" s="206">
        <f t="shared" si="278"/>
        <v>22.3</v>
      </c>
      <c r="F1197" s="206" t="s">
        <v>23</v>
      </c>
      <c r="G1197" s="206" t="s">
        <v>752</v>
      </c>
      <c r="H1197" s="146">
        <v>1300</v>
      </c>
      <c r="I1197" s="146">
        <f t="shared" ref="I1197:I1203" si="300">H1197*E1197</f>
        <v>28990</v>
      </c>
      <c r="J1197" s="146">
        <v>0</v>
      </c>
      <c r="K1197" s="146">
        <f t="shared" ref="K1197:K1203" si="301">I1197+J1197</f>
        <v>28990</v>
      </c>
      <c r="L1197" s="146">
        <v>0</v>
      </c>
      <c r="M1197" s="146">
        <f t="shared" ref="M1197:M1203" si="302">K1197-L1197</f>
        <v>28990</v>
      </c>
      <c r="N1197" s="352" t="s">
        <v>44</v>
      </c>
    </row>
    <row r="1198" spans="1:14" ht="15" customHeight="1" thickBot="1" x14ac:dyDescent="0.3">
      <c r="A1198" s="355">
        <v>46030</v>
      </c>
      <c r="B1198" s="353" t="s">
        <v>22</v>
      </c>
      <c r="C1198" s="353">
        <v>24.96</v>
      </c>
      <c r="D1198" s="353">
        <v>9.43</v>
      </c>
      <c r="E1198" s="353">
        <f t="shared" si="278"/>
        <v>15.530000000000001</v>
      </c>
      <c r="F1198" s="353" t="s">
        <v>38</v>
      </c>
      <c r="G1198" s="353" t="s">
        <v>745</v>
      </c>
      <c r="H1198" s="356">
        <v>500</v>
      </c>
      <c r="I1198" s="356">
        <f t="shared" si="300"/>
        <v>7765.0000000000009</v>
      </c>
      <c r="J1198" s="356">
        <v>1500</v>
      </c>
      <c r="K1198" s="356">
        <f t="shared" si="301"/>
        <v>9265</v>
      </c>
      <c r="L1198" s="356">
        <v>65</v>
      </c>
      <c r="M1198" s="356">
        <f t="shared" si="302"/>
        <v>9200</v>
      </c>
      <c r="N1198" s="402" t="s">
        <v>20</v>
      </c>
    </row>
    <row r="1199" spans="1:14" ht="15" customHeight="1" thickBot="1" x14ac:dyDescent="0.3">
      <c r="A1199" s="355">
        <v>46031</v>
      </c>
      <c r="B1199" s="353" t="s">
        <v>92</v>
      </c>
      <c r="C1199" s="353">
        <v>8.1</v>
      </c>
      <c r="D1199" s="353">
        <v>3.37</v>
      </c>
      <c r="E1199" s="353">
        <f t="shared" si="278"/>
        <v>4.7299999999999995</v>
      </c>
      <c r="F1199" s="353" t="s">
        <v>23</v>
      </c>
      <c r="G1199" s="353" t="s">
        <v>167</v>
      </c>
      <c r="H1199" s="356">
        <v>1400</v>
      </c>
      <c r="I1199" s="356">
        <f t="shared" si="300"/>
        <v>6621.9999999999991</v>
      </c>
      <c r="J1199" s="356">
        <v>0</v>
      </c>
      <c r="K1199" s="356">
        <f t="shared" si="301"/>
        <v>6621.9999999999991</v>
      </c>
      <c r="L1199" s="356">
        <v>22</v>
      </c>
      <c r="M1199" s="356">
        <f t="shared" si="302"/>
        <v>6599.9999999999991</v>
      </c>
      <c r="N1199" s="402" t="s">
        <v>25</v>
      </c>
    </row>
    <row r="1200" spans="1:14" ht="15" customHeight="1" x14ac:dyDescent="0.25">
      <c r="A1200" s="159">
        <v>46032</v>
      </c>
      <c r="B1200" s="180" t="s">
        <v>47</v>
      </c>
      <c r="C1200" s="180">
        <v>30.38</v>
      </c>
      <c r="D1200" s="180">
        <v>9.49</v>
      </c>
      <c r="E1200" s="180">
        <f t="shared" si="278"/>
        <v>20.89</v>
      </c>
      <c r="F1200" s="180" t="s">
        <v>23</v>
      </c>
      <c r="G1200" s="180" t="s">
        <v>1041</v>
      </c>
      <c r="H1200" s="181">
        <v>1400</v>
      </c>
      <c r="I1200" s="181">
        <f t="shared" si="300"/>
        <v>29246</v>
      </c>
      <c r="J1200" s="181">
        <v>0</v>
      </c>
      <c r="K1200" s="181">
        <f t="shared" si="301"/>
        <v>29246</v>
      </c>
      <c r="L1200" s="181">
        <v>0</v>
      </c>
      <c r="M1200" s="181">
        <f t="shared" si="302"/>
        <v>29246</v>
      </c>
      <c r="N1200" s="405" t="s">
        <v>44</v>
      </c>
    </row>
    <row r="1201" spans="1:14" ht="15" customHeight="1" thickBot="1" x14ac:dyDescent="0.3">
      <c r="A1201" s="166">
        <v>46032</v>
      </c>
      <c r="B1201" s="206" t="s">
        <v>115</v>
      </c>
      <c r="C1201" s="206">
        <v>29.64</v>
      </c>
      <c r="D1201" s="206">
        <v>9.27</v>
      </c>
      <c r="E1201" s="206">
        <f t="shared" si="278"/>
        <v>20.37</v>
      </c>
      <c r="F1201" s="206" t="s">
        <v>23</v>
      </c>
      <c r="G1201" s="206" t="s">
        <v>1041</v>
      </c>
      <c r="H1201" s="146">
        <v>1400</v>
      </c>
      <c r="I1201" s="146">
        <f t="shared" si="300"/>
        <v>28518</v>
      </c>
      <c r="J1201" s="146">
        <v>0</v>
      </c>
      <c r="K1201" s="146">
        <f t="shared" si="301"/>
        <v>28518</v>
      </c>
      <c r="L1201" s="146">
        <v>0</v>
      </c>
      <c r="M1201" s="146">
        <f t="shared" si="302"/>
        <v>28518</v>
      </c>
      <c r="N1201" s="406" t="s">
        <v>44</v>
      </c>
    </row>
    <row r="1202" spans="1:14" ht="15" customHeight="1" x14ac:dyDescent="0.25">
      <c r="A1202" s="159">
        <v>46034</v>
      </c>
      <c r="B1202" s="180" t="s">
        <v>67</v>
      </c>
      <c r="C1202" s="180">
        <v>21.22</v>
      </c>
      <c r="D1202" s="180">
        <v>9.3000000000000007</v>
      </c>
      <c r="E1202" s="180">
        <f t="shared" si="278"/>
        <v>11.919999999999998</v>
      </c>
      <c r="F1202" s="180" t="s">
        <v>23</v>
      </c>
      <c r="G1202" s="180" t="s">
        <v>1047</v>
      </c>
      <c r="H1202" s="181">
        <v>1400</v>
      </c>
      <c r="I1202" s="181">
        <f t="shared" si="300"/>
        <v>16687.999999999996</v>
      </c>
      <c r="J1202" s="181">
        <v>1500</v>
      </c>
      <c r="K1202" s="181">
        <f t="shared" si="301"/>
        <v>18187.999999999996</v>
      </c>
      <c r="L1202" s="181">
        <v>88</v>
      </c>
      <c r="M1202" s="181">
        <f t="shared" si="302"/>
        <v>18099.999999999996</v>
      </c>
      <c r="N1202" s="405" t="s">
        <v>20</v>
      </c>
    </row>
    <row r="1203" spans="1:14" ht="15" customHeight="1" thickBot="1" x14ac:dyDescent="0.3">
      <c r="A1203" s="166">
        <v>46034</v>
      </c>
      <c r="B1203" s="206" t="s">
        <v>67</v>
      </c>
      <c r="C1203" s="206">
        <v>30.6</v>
      </c>
      <c r="D1203" s="206">
        <v>9.76</v>
      </c>
      <c r="E1203" s="206">
        <f t="shared" si="278"/>
        <v>20.840000000000003</v>
      </c>
      <c r="F1203" s="206" t="s">
        <v>38</v>
      </c>
      <c r="G1203" s="206" t="s">
        <v>900</v>
      </c>
      <c r="H1203" s="146">
        <v>500</v>
      </c>
      <c r="I1203" s="146">
        <f t="shared" si="300"/>
        <v>10420.000000000002</v>
      </c>
      <c r="J1203" s="146">
        <v>0</v>
      </c>
      <c r="K1203" s="146">
        <f t="shared" si="301"/>
        <v>10420.000000000002</v>
      </c>
      <c r="L1203" s="146">
        <v>0</v>
      </c>
      <c r="M1203" s="146">
        <f t="shared" si="302"/>
        <v>10420.000000000002</v>
      </c>
      <c r="N1203" s="406" t="s">
        <v>44</v>
      </c>
    </row>
    <row r="1204" spans="1:14" ht="15" customHeight="1" x14ac:dyDescent="0.25">
      <c r="A1204" s="159">
        <v>46035</v>
      </c>
      <c r="B1204" s="180" t="s">
        <v>67</v>
      </c>
      <c r="C1204" s="180">
        <v>27.82</v>
      </c>
      <c r="D1204" s="180">
        <v>9.36</v>
      </c>
      <c r="E1204" s="180">
        <f t="shared" si="278"/>
        <v>18.46</v>
      </c>
      <c r="F1204" s="180" t="s">
        <v>38</v>
      </c>
      <c r="G1204" s="180" t="s">
        <v>900</v>
      </c>
      <c r="H1204" s="181">
        <v>500</v>
      </c>
      <c r="I1204" s="181">
        <f t="shared" ref="I1204:I1219" si="303">H1204*E1204</f>
        <v>9230</v>
      </c>
      <c r="J1204" s="181">
        <v>0</v>
      </c>
      <c r="K1204" s="181">
        <f t="shared" ref="K1204:K1219" si="304">I1204+J1204</f>
        <v>9230</v>
      </c>
      <c r="L1204" s="181">
        <v>0</v>
      </c>
      <c r="M1204" s="181">
        <f t="shared" ref="M1204:M1219" si="305">K1204-L1204</f>
        <v>9230</v>
      </c>
      <c r="N1204" s="405" t="s">
        <v>44</v>
      </c>
    </row>
    <row r="1205" spans="1:14" ht="15" customHeight="1" x14ac:dyDescent="0.25">
      <c r="A1205" s="163">
        <v>46035</v>
      </c>
      <c r="B1205" s="184" t="s">
        <v>92</v>
      </c>
      <c r="C1205" s="184">
        <v>6.65</v>
      </c>
      <c r="D1205" s="184">
        <v>3.19</v>
      </c>
      <c r="E1205" s="184">
        <f t="shared" si="278"/>
        <v>3.4600000000000004</v>
      </c>
      <c r="F1205" s="184" t="s">
        <v>23</v>
      </c>
      <c r="G1205" s="184" t="s">
        <v>1048</v>
      </c>
      <c r="H1205" s="139">
        <v>1400</v>
      </c>
      <c r="I1205" s="139">
        <f t="shared" si="303"/>
        <v>4844.0000000000009</v>
      </c>
      <c r="J1205" s="139">
        <v>0</v>
      </c>
      <c r="K1205" s="139">
        <f t="shared" si="304"/>
        <v>4844.0000000000009</v>
      </c>
      <c r="L1205" s="139">
        <v>44</v>
      </c>
      <c r="M1205" s="139">
        <f t="shared" si="305"/>
        <v>4800.0000000000009</v>
      </c>
      <c r="N1205" s="394" t="s">
        <v>20</v>
      </c>
    </row>
    <row r="1206" spans="1:14" ht="15" customHeight="1" thickBot="1" x14ac:dyDescent="0.3">
      <c r="A1206" s="166">
        <v>46035</v>
      </c>
      <c r="B1206" s="206" t="s">
        <v>1043</v>
      </c>
      <c r="C1206" s="206">
        <v>14.34</v>
      </c>
      <c r="D1206" s="206">
        <v>6.31</v>
      </c>
      <c r="E1206" s="206">
        <f t="shared" si="278"/>
        <v>8.0300000000000011</v>
      </c>
      <c r="F1206" s="206" t="s">
        <v>708</v>
      </c>
      <c r="G1206" s="206" t="s">
        <v>1049</v>
      </c>
      <c r="H1206" s="146">
        <v>1350</v>
      </c>
      <c r="I1206" s="146">
        <f t="shared" si="303"/>
        <v>10840.500000000002</v>
      </c>
      <c r="J1206" s="146">
        <v>0</v>
      </c>
      <c r="K1206" s="146">
        <f t="shared" si="304"/>
        <v>10840.500000000002</v>
      </c>
      <c r="L1206" s="146">
        <v>140.5</v>
      </c>
      <c r="M1206" s="146">
        <f t="shared" si="305"/>
        <v>10700.000000000002</v>
      </c>
      <c r="N1206" s="406" t="s">
        <v>20</v>
      </c>
    </row>
    <row r="1207" spans="1:14" ht="15" customHeight="1" thickBot="1" x14ac:dyDescent="0.3">
      <c r="A1207" s="355">
        <v>46036</v>
      </c>
      <c r="B1207" s="353" t="s">
        <v>67</v>
      </c>
      <c r="C1207" s="353">
        <v>32.71</v>
      </c>
      <c r="D1207" s="353">
        <v>9.56</v>
      </c>
      <c r="E1207" s="353">
        <f t="shared" si="278"/>
        <v>23.15</v>
      </c>
      <c r="F1207" s="353" t="s">
        <v>26</v>
      </c>
      <c r="G1207" s="353" t="s">
        <v>900</v>
      </c>
      <c r="H1207" s="356">
        <v>1250</v>
      </c>
      <c r="I1207" s="356">
        <f t="shared" si="303"/>
        <v>28937.5</v>
      </c>
      <c r="J1207" s="356">
        <v>0</v>
      </c>
      <c r="K1207" s="356">
        <f t="shared" si="304"/>
        <v>28937.5</v>
      </c>
      <c r="L1207" s="356">
        <v>23937.5</v>
      </c>
      <c r="M1207" s="356">
        <f t="shared" si="305"/>
        <v>5000</v>
      </c>
      <c r="N1207" s="402" t="s">
        <v>44</v>
      </c>
    </row>
    <row r="1208" spans="1:14" ht="15" customHeight="1" x14ac:dyDescent="0.25">
      <c r="A1208" s="159">
        <v>46037</v>
      </c>
      <c r="B1208" s="180" t="s">
        <v>115</v>
      </c>
      <c r="C1208" s="180">
        <v>29.22</v>
      </c>
      <c r="D1208" s="180">
        <v>9.34</v>
      </c>
      <c r="E1208" s="180">
        <f t="shared" si="278"/>
        <v>19.88</v>
      </c>
      <c r="F1208" s="180" t="s">
        <v>18</v>
      </c>
      <c r="G1208" s="180" t="s">
        <v>1041</v>
      </c>
      <c r="H1208" s="181">
        <v>1200</v>
      </c>
      <c r="I1208" s="181">
        <f t="shared" si="303"/>
        <v>23856</v>
      </c>
      <c r="J1208" s="181">
        <v>0</v>
      </c>
      <c r="K1208" s="181">
        <f t="shared" si="304"/>
        <v>23856</v>
      </c>
      <c r="L1208" s="181">
        <v>0</v>
      </c>
      <c r="M1208" s="181">
        <f t="shared" si="305"/>
        <v>23856</v>
      </c>
      <c r="N1208" s="405" t="s">
        <v>44</v>
      </c>
    </row>
    <row r="1209" spans="1:14" ht="15" customHeight="1" x14ac:dyDescent="0.25">
      <c r="A1209" s="163">
        <v>46037</v>
      </c>
      <c r="B1209" s="184" t="s">
        <v>115</v>
      </c>
      <c r="C1209" s="184">
        <v>29.04</v>
      </c>
      <c r="D1209" s="184">
        <v>9.42</v>
      </c>
      <c r="E1209" s="184">
        <f t="shared" si="278"/>
        <v>19.619999999999997</v>
      </c>
      <c r="F1209" s="184" t="s">
        <v>18</v>
      </c>
      <c r="G1209" s="184" t="s">
        <v>1041</v>
      </c>
      <c r="H1209" s="139">
        <v>1200</v>
      </c>
      <c r="I1209" s="139">
        <f t="shared" si="303"/>
        <v>23543.999999999996</v>
      </c>
      <c r="J1209" s="139">
        <v>0</v>
      </c>
      <c r="K1209" s="139">
        <f t="shared" si="304"/>
        <v>23543.999999999996</v>
      </c>
      <c r="L1209" s="139">
        <v>0</v>
      </c>
      <c r="M1209" s="139">
        <f t="shared" si="305"/>
        <v>23543.999999999996</v>
      </c>
      <c r="N1209" s="394" t="s">
        <v>44</v>
      </c>
    </row>
    <row r="1210" spans="1:14" ht="15" customHeight="1" thickBot="1" x14ac:dyDescent="0.3">
      <c r="A1210" s="166">
        <v>46037</v>
      </c>
      <c r="B1210" s="206" t="s">
        <v>67</v>
      </c>
      <c r="C1210" s="206">
        <v>14.74</v>
      </c>
      <c r="D1210" s="206">
        <v>9.65</v>
      </c>
      <c r="E1210" s="206">
        <f t="shared" si="278"/>
        <v>5.09</v>
      </c>
      <c r="F1210" s="206" t="s">
        <v>23</v>
      </c>
      <c r="G1210" s="206" t="s">
        <v>1050</v>
      </c>
      <c r="H1210" s="146">
        <v>1400</v>
      </c>
      <c r="I1210" s="146">
        <f t="shared" si="303"/>
        <v>7126</v>
      </c>
      <c r="J1210" s="146">
        <v>0</v>
      </c>
      <c r="K1210" s="146">
        <f t="shared" si="304"/>
        <v>7126</v>
      </c>
      <c r="L1210" s="146">
        <v>626</v>
      </c>
      <c r="M1210" s="146">
        <f t="shared" si="305"/>
        <v>6500</v>
      </c>
      <c r="N1210" s="406" t="s">
        <v>20</v>
      </c>
    </row>
    <row r="1211" spans="1:14" ht="15" customHeight="1" x14ac:dyDescent="0.25">
      <c r="A1211" s="159">
        <v>46039</v>
      </c>
      <c r="B1211" s="180" t="s">
        <v>88</v>
      </c>
      <c r="C1211" s="180">
        <v>30.56</v>
      </c>
      <c r="D1211" s="180">
        <v>9.83</v>
      </c>
      <c r="E1211" s="180">
        <f t="shared" si="278"/>
        <v>20.729999999999997</v>
      </c>
      <c r="F1211" s="180" t="s">
        <v>23</v>
      </c>
      <c r="G1211" s="180" t="s">
        <v>900</v>
      </c>
      <c r="H1211" s="181">
        <v>1300</v>
      </c>
      <c r="I1211" s="181">
        <f t="shared" si="303"/>
        <v>26948.999999999996</v>
      </c>
      <c r="J1211" s="181">
        <v>0</v>
      </c>
      <c r="K1211" s="181">
        <f t="shared" si="304"/>
        <v>26948.999999999996</v>
      </c>
      <c r="L1211" s="181">
        <v>0</v>
      </c>
      <c r="M1211" s="181">
        <f t="shared" si="305"/>
        <v>26948.999999999996</v>
      </c>
      <c r="N1211" s="182" t="s">
        <v>575</v>
      </c>
    </row>
    <row r="1212" spans="1:14" ht="15" customHeight="1" x14ac:dyDescent="0.25">
      <c r="A1212" s="163">
        <v>46039</v>
      </c>
      <c r="B1212" s="184" t="s">
        <v>47</v>
      </c>
      <c r="C1212" s="184">
        <v>29.35</v>
      </c>
      <c r="D1212" s="184">
        <v>9.3000000000000007</v>
      </c>
      <c r="E1212" s="184">
        <f t="shared" si="278"/>
        <v>20.05</v>
      </c>
      <c r="F1212" s="184" t="s">
        <v>23</v>
      </c>
      <c r="G1212" s="184" t="s">
        <v>1041</v>
      </c>
      <c r="H1212" s="139">
        <v>1400</v>
      </c>
      <c r="I1212" s="139">
        <f t="shared" si="303"/>
        <v>28070</v>
      </c>
      <c r="J1212" s="139">
        <v>0</v>
      </c>
      <c r="K1212" s="139">
        <f t="shared" si="304"/>
        <v>28070</v>
      </c>
      <c r="L1212" s="139">
        <v>0</v>
      </c>
      <c r="M1212" s="139">
        <f t="shared" si="305"/>
        <v>28070</v>
      </c>
      <c r="N1212" s="394" t="s">
        <v>44</v>
      </c>
    </row>
    <row r="1213" spans="1:14" ht="15" customHeight="1" thickBot="1" x14ac:dyDescent="0.3">
      <c r="A1213" s="209">
        <v>46039</v>
      </c>
      <c r="B1213" s="187" t="s">
        <v>115</v>
      </c>
      <c r="C1213" s="187">
        <v>30.58</v>
      </c>
      <c r="D1213" s="187">
        <v>9.41</v>
      </c>
      <c r="E1213" s="187">
        <f t="shared" si="278"/>
        <v>21.169999999999998</v>
      </c>
      <c r="F1213" s="187" t="s">
        <v>23</v>
      </c>
      <c r="G1213" s="187" t="s">
        <v>1041</v>
      </c>
      <c r="H1213" s="188">
        <v>1400</v>
      </c>
      <c r="I1213" s="188">
        <f t="shared" si="303"/>
        <v>29637.999999999996</v>
      </c>
      <c r="J1213" s="188">
        <v>0</v>
      </c>
      <c r="K1213" s="188">
        <f t="shared" si="304"/>
        <v>29637.999999999996</v>
      </c>
      <c r="L1213" s="188">
        <v>0</v>
      </c>
      <c r="M1213" s="188">
        <f t="shared" si="305"/>
        <v>29637.999999999996</v>
      </c>
      <c r="N1213" s="398" t="s">
        <v>44</v>
      </c>
    </row>
    <row r="1214" spans="1:14" ht="15" customHeight="1" thickBot="1" x14ac:dyDescent="0.3">
      <c r="A1214" s="399">
        <v>46041</v>
      </c>
      <c r="B1214" s="400" t="s">
        <v>1051</v>
      </c>
      <c r="C1214" s="400">
        <v>16.14</v>
      </c>
      <c r="D1214" s="400">
        <v>10.46</v>
      </c>
      <c r="E1214" s="400">
        <f t="shared" si="278"/>
        <v>5.68</v>
      </c>
      <c r="F1214" s="400" t="s">
        <v>23</v>
      </c>
      <c r="G1214" s="400" t="s">
        <v>1052</v>
      </c>
      <c r="H1214" s="316">
        <v>1400</v>
      </c>
      <c r="I1214" s="316">
        <f t="shared" si="303"/>
        <v>7952</v>
      </c>
      <c r="J1214" s="316">
        <v>52</v>
      </c>
      <c r="K1214" s="316">
        <f t="shared" si="304"/>
        <v>8004</v>
      </c>
      <c r="L1214" s="316">
        <v>104</v>
      </c>
      <c r="M1214" s="316">
        <f t="shared" si="305"/>
        <v>7900</v>
      </c>
      <c r="N1214" s="403" t="s">
        <v>20</v>
      </c>
    </row>
    <row r="1215" spans="1:14" ht="15" customHeight="1" thickBot="1" x14ac:dyDescent="0.3">
      <c r="A1215" s="401">
        <v>46042</v>
      </c>
      <c r="B1215" s="353" t="s">
        <v>67</v>
      </c>
      <c r="C1215" s="353">
        <v>31.55</v>
      </c>
      <c r="D1215" s="353">
        <v>9.5299999999999994</v>
      </c>
      <c r="E1215" s="353">
        <f t="shared" si="278"/>
        <v>22.020000000000003</v>
      </c>
      <c r="F1215" s="353" t="s">
        <v>23</v>
      </c>
      <c r="G1215" s="353" t="s">
        <v>743</v>
      </c>
      <c r="H1215" s="356">
        <v>1400</v>
      </c>
      <c r="I1215" s="356">
        <f t="shared" si="303"/>
        <v>30828.000000000004</v>
      </c>
      <c r="J1215" s="356">
        <v>2000</v>
      </c>
      <c r="K1215" s="356">
        <f t="shared" si="304"/>
        <v>32828</v>
      </c>
      <c r="L1215" s="356">
        <v>0</v>
      </c>
      <c r="M1215" s="356">
        <f t="shared" si="305"/>
        <v>32828</v>
      </c>
      <c r="N1215" s="402" t="s">
        <v>25</v>
      </c>
    </row>
    <row r="1216" spans="1:14" ht="15" customHeight="1" x14ac:dyDescent="0.25">
      <c r="A1216" s="159">
        <v>46043</v>
      </c>
      <c r="B1216" s="180" t="s">
        <v>51</v>
      </c>
      <c r="C1216" s="180">
        <v>17.21</v>
      </c>
      <c r="D1216" s="180">
        <v>9.2899999999999991</v>
      </c>
      <c r="E1216" s="180">
        <f t="shared" si="278"/>
        <v>7.9200000000000017</v>
      </c>
      <c r="F1216" s="180" t="s">
        <v>23</v>
      </c>
      <c r="G1216" s="180" t="s">
        <v>1053</v>
      </c>
      <c r="H1216" s="181">
        <v>1400</v>
      </c>
      <c r="I1216" s="181">
        <f t="shared" si="303"/>
        <v>11088.000000000002</v>
      </c>
      <c r="J1216" s="181">
        <v>1000</v>
      </c>
      <c r="K1216" s="181">
        <f t="shared" si="304"/>
        <v>12088.000000000002</v>
      </c>
      <c r="L1216" s="181">
        <v>38</v>
      </c>
      <c r="M1216" s="181">
        <f t="shared" si="305"/>
        <v>12050.000000000002</v>
      </c>
      <c r="N1216" s="405" t="s">
        <v>20</v>
      </c>
    </row>
    <row r="1217" spans="1:14" ht="15" customHeight="1" x14ac:dyDescent="0.25">
      <c r="A1217" s="163">
        <v>46043</v>
      </c>
      <c r="B1217" s="184" t="s">
        <v>92</v>
      </c>
      <c r="C1217" s="184">
        <v>7.71</v>
      </c>
      <c r="D1217" s="184">
        <v>3.09</v>
      </c>
      <c r="E1217" s="184">
        <f t="shared" si="278"/>
        <v>4.62</v>
      </c>
      <c r="F1217" s="184" t="s">
        <v>23</v>
      </c>
      <c r="G1217" s="184" t="s">
        <v>167</v>
      </c>
      <c r="H1217" s="139">
        <v>1350</v>
      </c>
      <c r="I1217" s="139">
        <f t="shared" si="303"/>
        <v>6237</v>
      </c>
      <c r="J1217" s="139">
        <v>0</v>
      </c>
      <c r="K1217" s="139">
        <f t="shared" si="304"/>
        <v>6237</v>
      </c>
      <c r="L1217" s="139">
        <v>0</v>
      </c>
      <c r="M1217" s="139">
        <f t="shared" si="305"/>
        <v>6237</v>
      </c>
      <c r="N1217" s="394" t="s">
        <v>20</v>
      </c>
    </row>
    <row r="1218" spans="1:14" ht="15" customHeight="1" x14ac:dyDescent="0.25">
      <c r="A1218" s="163">
        <v>46043</v>
      </c>
      <c r="B1218" s="184" t="s">
        <v>51</v>
      </c>
      <c r="C1218" s="184">
        <v>30.33</v>
      </c>
      <c r="D1218" s="184">
        <v>9.32</v>
      </c>
      <c r="E1218" s="184">
        <f t="shared" si="278"/>
        <v>21.009999999999998</v>
      </c>
      <c r="F1218" s="184" t="s">
        <v>23</v>
      </c>
      <c r="G1218" s="184" t="s">
        <v>1035</v>
      </c>
      <c r="H1218" s="139">
        <v>1300</v>
      </c>
      <c r="I1218" s="139">
        <f t="shared" si="303"/>
        <v>27312.999999999996</v>
      </c>
      <c r="J1218" s="139">
        <v>0</v>
      </c>
      <c r="K1218" s="139">
        <f t="shared" si="304"/>
        <v>27312.999999999996</v>
      </c>
      <c r="L1218" s="139">
        <v>0</v>
      </c>
      <c r="M1218" s="139">
        <f t="shared" si="305"/>
        <v>27312.999999999996</v>
      </c>
      <c r="N1218" s="331" t="s">
        <v>44</v>
      </c>
    </row>
    <row r="1219" spans="1:14" ht="15" customHeight="1" thickBot="1" x14ac:dyDescent="0.3">
      <c r="A1219" s="166">
        <v>46043</v>
      </c>
      <c r="B1219" s="206" t="s">
        <v>92</v>
      </c>
      <c r="C1219" s="206">
        <v>8.11</v>
      </c>
      <c r="D1219" s="206">
        <v>3.19</v>
      </c>
      <c r="E1219" s="206">
        <f t="shared" si="278"/>
        <v>4.92</v>
      </c>
      <c r="F1219" s="206" t="s">
        <v>23</v>
      </c>
      <c r="G1219" s="206" t="s">
        <v>167</v>
      </c>
      <c r="H1219" s="146">
        <v>1350</v>
      </c>
      <c r="I1219" s="146">
        <f t="shared" si="303"/>
        <v>6642</v>
      </c>
      <c r="J1219" s="146">
        <v>0</v>
      </c>
      <c r="K1219" s="146">
        <f t="shared" si="304"/>
        <v>6642</v>
      </c>
      <c r="L1219" s="146">
        <v>9</v>
      </c>
      <c r="M1219" s="146">
        <f t="shared" si="305"/>
        <v>6633</v>
      </c>
      <c r="N1219" s="406" t="s">
        <v>20</v>
      </c>
    </row>
    <row r="1220" spans="1:14" ht="15" customHeight="1" x14ac:dyDescent="0.25">
      <c r="A1220" s="159">
        <v>46044</v>
      </c>
      <c r="B1220" s="180" t="s">
        <v>51</v>
      </c>
      <c r="C1220" s="180">
        <v>29.37</v>
      </c>
      <c r="D1220" s="180">
        <v>9.25</v>
      </c>
      <c r="E1220" s="180">
        <f t="shared" si="278"/>
        <v>20.12</v>
      </c>
      <c r="F1220" s="180" t="s">
        <v>23</v>
      </c>
      <c r="G1220" s="180" t="s">
        <v>1035</v>
      </c>
      <c r="H1220" s="181">
        <v>1300</v>
      </c>
      <c r="I1220" s="181">
        <f t="shared" ref="I1220:I1221" si="306">H1220*E1220</f>
        <v>26156</v>
      </c>
      <c r="J1220" s="181">
        <v>0</v>
      </c>
      <c r="K1220" s="181">
        <f t="shared" ref="K1220:K1221" si="307">I1220+J1220</f>
        <v>26156</v>
      </c>
      <c r="L1220" s="181">
        <v>0</v>
      </c>
      <c r="M1220" s="181">
        <f t="shared" ref="M1220:M1221" si="308">K1220-L1220</f>
        <v>26156</v>
      </c>
      <c r="N1220" s="334" t="s">
        <v>44</v>
      </c>
    </row>
    <row r="1221" spans="1:14" ht="15" customHeight="1" x14ac:dyDescent="0.25">
      <c r="A1221" s="163">
        <v>46044</v>
      </c>
      <c r="B1221" s="184" t="s">
        <v>30</v>
      </c>
      <c r="C1221" s="184">
        <v>19.3</v>
      </c>
      <c r="D1221" s="184">
        <v>9.1</v>
      </c>
      <c r="E1221" s="184">
        <f t="shared" si="278"/>
        <v>10.200000000000001</v>
      </c>
      <c r="F1221" s="184" t="s">
        <v>23</v>
      </c>
      <c r="G1221" s="184" t="s">
        <v>167</v>
      </c>
      <c r="H1221" s="139">
        <v>1350</v>
      </c>
      <c r="I1221" s="139">
        <f t="shared" si="306"/>
        <v>13770.000000000002</v>
      </c>
      <c r="J1221" s="139">
        <v>700</v>
      </c>
      <c r="K1221" s="139">
        <f t="shared" si="307"/>
        <v>14470.000000000002</v>
      </c>
      <c r="L1221" s="139">
        <v>0</v>
      </c>
      <c r="M1221" s="139">
        <f t="shared" si="308"/>
        <v>14470.000000000002</v>
      </c>
      <c r="N1221" s="394" t="s">
        <v>20</v>
      </c>
    </row>
    <row r="1222" spans="1:14" ht="15" customHeight="1" thickBot="1" x14ac:dyDescent="0.3">
      <c r="A1222" s="166">
        <v>46044</v>
      </c>
      <c r="B1222" s="206" t="s">
        <v>49</v>
      </c>
      <c r="C1222" s="206">
        <v>28.28</v>
      </c>
      <c r="D1222" s="206">
        <v>9.75</v>
      </c>
      <c r="E1222" s="206">
        <f t="shared" si="278"/>
        <v>18.53</v>
      </c>
      <c r="F1222" s="206" t="s">
        <v>23</v>
      </c>
      <c r="G1222" s="206" t="s">
        <v>1035</v>
      </c>
      <c r="H1222" s="146">
        <v>1300</v>
      </c>
      <c r="I1222" s="146">
        <f t="shared" ref="I1222" si="309">H1222*E1222</f>
        <v>24089</v>
      </c>
      <c r="J1222" s="146">
        <v>0</v>
      </c>
      <c r="K1222" s="146">
        <f t="shared" ref="K1222" si="310">I1222+J1222</f>
        <v>24089</v>
      </c>
      <c r="L1222" s="146">
        <v>0</v>
      </c>
      <c r="M1222" s="146">
        <f t="shared" ref="M1222" si="311">K1222-L1222</f>
        <v>24089</v>
      </c>
      <c r="N1222" s="352" t="s">
        <v>44</v>
      </c>
    </row>
    <row r="1223" spans="1:14" ht="15" customHeight="1" x14ac:dyDescent="0.25">
      <c r="A1223" s="159">
        <v>46045</v>
      </c>
      <c r="B1223" s="180" t="s">
        <v>30</v>
      </c>
      <c r="C1223" s="180">
        <v>28.41</v>
      </c>
      <c r="D1223" s="180">
        <v>9.25</v>
      </c>
      <c r="E1223" s="180">
        <f t="shared" si="278"/>
        <v>19.16</v>
      </c>
      <c r="F1223" s="180" t="s">
        <v>23</v>
      </c>
      <c r="G1223" s="180" t="s">
        <v>1035</v>
      </c>
      <c r="H1223" s="181">
        <v>1300</v>
      </c>
      <c r="I1223" s="181">
        <f t="shared" ref="I1223:I1229" si="312">H1223*E1223</f>
        <v>24908</v>
      </c>
      <c r="J1223" s="181">
        <v>0</v>
      </c>
      <c r="K1223" s="181">
        <f t="shared" ref="K1223:K1229" si="313">I1223+J1223</f>
        <v>24908</v>
      </c>
      <c r="L1223" s="181">
        <v>0</v>
      </c>
      <c r="M1223" s="181">
        <f t="shared" ref="M1223:M1229" si="314">K1223-L1223</f>
        <v>24908</v>
      </c>
      <c r="N1223" s="334" t="s">
        <v>44</v>
      </c>
    </row>
    <row r="1224" spans="1:14" ht="15" customHeight="1" x14ac:dyDescent="0.25">
      <c r="A1224" s="163">
        <v>46045</v>
      </c>
      <c r="B1224" s="184" t="s">
        <v>51</v>
      </c>
      <c r="C1224" s="184">
        <v>28.75</v>
      </c>
      <c r="D1224" s="184">
        <v>9.09</v>
      </c>
      <c r="E1224" s="184">
        <f t="shared" si="278"/>
        <v>19.66</v>
      </c>
      <c r="F1224" s="184" t="s">
        <v>23</v>
      </c>
      <c r="G1224" s="184" t="s">
        <v>900</v>
      </c>
      <c r="H1224" s="139">
        <v>1300</v>
      </c>
      <c r="I1224" s="139">
        <f t="shared" si="312"/>
        <v>25558</v>
      </c>
      <c r="J1224" s="139">
        <v>0</v>
      </c>
      <c r="K1224" s="139">
        <f t="shared" si="313"/>
        <v>25558</v>
      </c>
      <c r="L1224" s="139">
        <v>0</v>
      </c>
      <c r="M1224" s="139">
        <f t="shared" si="314"/>
        <v>25558</v>
      </c>
      <c r="N1224" s="185" t="s">
        <v>575</v>
      </c>
    </row>
    <row r="1225" spans="1:14" ht="15" customHeight="1" x14ac:dyDescent="0.25">
      <c r="A1225" s="163">
        <v>46045</v>
      </c>
      <c r="B1225" s="184" t="s">
        <v>51</v>
      </c>
      <c r="C1225" s="184">
        <v>30.21</v>
      </c>
      <c r="D1225" s="184">
        <v>9.36</v>
      </c>
      <c r="E1225" s="184">
        <f t="shared" si="278"/>
        <v>20.85</v>
      </c>
      <c r="F1225" s="184" t="s">
        <v>38</v>
      </c>
      <c r="G1225" s="184" t="s">
        <v>900</v>
      </c>
      <c r="H1225" s="139">
        <v>500</v>
      </c>
      <c r="I1225" s="139">
        <f t="shared" si="312"/>
        <v>10425</v>
      </c>
      <c r="J1225" s="139">
        <v>0</v>
      </c>
      <c r="K1225" s="139">
        <f t="shared" si="313"/>
        <v>10425</v>
      </c>
      <c r="L1225" s="139">
        <v>0</v>
      </c>
      <c r="M1225" s="139">
        <f t="shared" si="314"/>
        <v>10425</v>
      </c>
      <c r="N1225" s="185" t="s">
        <v>44</v>
      </c>
    </row>
    <row r="1226" spans="1:14" ht="15" customHeight="1" x14ac:dyDescent="0.25">
      <c r="A1226" s="163">
        <v>46045</v>
      </c>
      <c r="B1226" s="184" t="s">
        <v>30</v>
      </c>
      <c r="C1226" s="184">
        <v>27.19</v>
      </c>
      <c r="D1226" s="184">
        <v>9.3000000000000007</v>
      </c>
      <c r="E1226" s="184">
        <f t="shared" si="278"/>
        <v>17.89</v>
      </c>
      <c r="F1226" s="184" t="s">
        <v>26</v>
      </c>
      <c r="G1226" s="184" t="s">
        <v>57</v>
      </c>
      <c r="H1226" s="139">
        <v>1365</v>
      </c>
      <c r="I1226" s="139">
        <f t="shared" si="312"/>
        <v>24419.850000000002</v>
      </c>
      <c r="J1226" s="139">
        <v>0</v>
      </c>
      <c r="K1226" s="139">
        <f t="shared" si="313"/>
        <v>24419.850000000002</v>
      </c>
      <c r="L1226" s="139">
        <v>0</v>
      </c>
      <c r="M1226" s="139">
        <f t="shared" si="314"/>
        <v>24419.850000000002</v>
      </c>
      <c r="N1226" s="331" t="s">
        <v>44</v>
      </c>
    </row>
    <row r="1227" spans="1:14" ht="15" customHeight="1" thickBot="1" x14ac:dyDescent="0.3">
      <c r="A1227" s="166">
        <v>46045</v>
      </c>
      <c r="B1227" s="206" t="s">
        <v>49</v>
      </c>
      <c r="C1227" s="206">
        <v>31.87</v>
      </c>
      <c r="D1227" s="206">
        <v>9.7799999999999994</v>
      </c>
      <c r="E1227" s="206">
        <f t="shared" si="278"/>
        <v>22.090000000000003</v>
      </c>
      <c r="F1227" s="206" t="s">
        <v>26</v>
      </c>
      <c r="G1227" s="206" t="s">
        <v>57</v>
      </c>
      <c r="H1227" s="146">
        <v>1365</v>
      </c>
      <c r="I1227" s="146">
        <f t="shared" si="312"/>
        <v>30152.850000000006</v>
      </c>
      <c r="J1227" s="146">
        <v>0</v>
      </c>
      <c r="K1227" s="146">
        <f t="shared" si="313"/>
        <v>30152.850000000006</v>
      </c>
      <c r="L1227" s="146">
        <v>0</v>
      </c>
      <c r="M1227" s="146">
        <f t="shared" si="314"/>
        <v>30152.850000000006</v>
      </c>
      <c r="N1227" s="352" t="s">
        <v>44</v>
      </c>
    </row>
    <row r="1228" spans="1:14" ht="15" customHeight="1" x14ac:dyDescent="0.25">
      <c r="A1228" s="159">
        <v>46046</v>
      </c>
      <c r="B1228" s="180" t="s">
        <v>30</v>
      </c>
      <c r="C1228" s="180">
        <v>28.84</v>
      </c>
      <c r="D1228" s="180">
        <v>9.3699999999999992</v>
      </c>
      <c r="E1228" s="180">
        <f t="shared" si="278"/>
        <v>19.47</v>
      </c>
      <c r="F1228" s="180" t="s">
        <v>35</v>
      </c>
      <c r="G1228" s="180" t="s">
        <v>929</v>
      </c>
      <c r="H1228" s="181">
        <v>1125</v>
      </c>
      <c r="I1228" s="181">
        <f t="shared" si="312"/>
        <v>21903.75</v>
      </c>
      <c r="J1228" s="181">
        <v>0</v>
      </c>
      <c r="K1228" s="181">
        <f t="shared" si="313"/>
        <v>21903.75</v>
      </c>
      <c r="L1228" s="181">
        <v>0</v>
      </c>
      <c r="M1228" s="181">
        <f t="shared" si="314"/>
        <v>21903.75</v>
      </c>
      <c r="N1228" s="334" t="s">
        <v>44</v>
      </c>
    </row>
    <row r="1229" spans="1:14" ht="15" customHeight="1" thickBot="1" x14ac:dyDescent="0.3">
      <c r="A1229" s="166">
        <v>46046</v>
      </c>
      <c r="B1229" s="206" t="s">
        <v>47</v>
      </c>
      <c r="C1229" s="206">
        <v>29.57</v>
      </c>
      <c r="D1229" s="206">
        <v>9.4700000000000006</v>
      </c>
      <c r="E1229" s="206">
        <f t="shared" si="278"/>
        <v>20.100000000000001</v>
      </c>
      <c r="F1229" s="206" t="s">
        <v>23</v>
      </c>
      <c r="G1229" s="206" t="s">
        <v>1041</v>
      </c>
      <c r="H1229" s="146">
        <v>1400</v>
      </c>
      <c r="I1229" s="146">
        <f t="shared" si="312"/>
        <v>28140.000000000004</v>
      </c>
      <c r="J1229" s="146">
        <v>0</v>
      </c>
      <c r="K1229" s="146">
        <f t="shared" si="313"/>
        <v>28140.000000000004</v>
      </c>
      <c r="L1229" s="146">
        <v>0</v>
      </c>
      <c r="M1229" s="146">
        <f t="shared" si="314"/>
        <v>28140.000000000004</v>
      </c>
      <c r="N1229" s="406" t="s">
        <v>44</v>
      </c>
    </row>
    <row r="1230" spans="1:14" ht="15" customHeight="1" x14ac:dyDescent="0.25">
      <c r="A1230" s="159">
        <v>46047</v>
      </c>
      <c r="B1230" s="180" t="s">
        <v>51</v>
      </c>
      <c r="C1230" s="180">
        <v>32.049999999999997</v>
      </c>
      <c r="D1230" s="180">
        <v>9.2899999999999991</v>
      </c>
      <c r="E1230" s="180">
        <f t="shared" si="278"/>
        <v>22.759999999999998</v>
      </c>
      <c r="F1230" s="180" t="s">
        <v>23</v>
      </c>
      <c r="G1230" s="180" t="s">
        <v>1035</v>
      </c>
      <c r="H1230" s="181">
        <v>1300</v>
      </c>
      <c r="I1230" s="181">
        <f t="shared" ref="I1230:I1232" si="315">H1230*E1230</f>
        <v>29587.999999999996</v>
      </c>
      <c r="J1230" s="181">
        <v>0</v>
      </c>
      <c r="K1230" s="181">
        <f t="shared" ref="K1230:K1232" si="316">I1230+J1230</f>
        <v>29587.999999999996</v>
      </c>
      <c r="L1230" s="181">
        <v>0</v>
      </c>
      <c r="M1230" s="181">
        <f t="shared" ref="M1230:M1232" si="317">K1230-L1230</f>
        <v>29587.999999999996</v>
      </c>
      <c r="N1230" s="334" t="s">
        <v>44</v>
      </c>
    </row>
    <row r="1231" spans="1:14" ht="15" customHeight="1" x14ac:dyDescent="0.25">
      <c r="A1231" s="163">
        <v>46047</v>
      </c>
      <c r="B1231" s="184" t="s">
        <v>88</v>
      </c>
      <c r="C1231" s="184">
        <v>32.14</v>
      </c>
      <c r="D1231" s="184">
        <v>9.82</v>
      </c>
      <c r="E1231" s="184">
        <f t="shared" si="278"/>
        <v>22.32</v>
      </c>
      <c r="F1231" s="184" t="s">
        <v>23</v>
      </c>
      <c r="G1231" s="184" t="s">
        <v>1035</v>
      </c>
      <c r="H1231" s="139">
        <v>1300</v>
      </c>
      <c r="I1231" s="139">
        <f t="shared" si="315"/>
        <v>29016</v>
      </c>
      <c r="J1231" s="139">
        <v>0</v>
      </c>
      <c r="K1231" s="139">
        <f t="shared" si="316"/>
        <v>29016</v>
      </c>
      <c r="L1231" s="139">
        <v>0</v>
      </c>
      <c r="M1231" s="139">
        <f t="shared" si="317"/>
        <v>29016</v>
      </c>
      <c r="N1231" s="331" t="s">
        <v>44</v>
      </c>
    </row>
    <row r="1232" spans="1:14" ht="15" customHeight="1" thickBot="1" x14ac:dyDescent="0.3">
      <c r="A1232" s="166">
        <v>46047</v>
      </c>
      <c r="B1232" s="206" t="s">
        <v>30</v>
      </c>
      <c r="C1232" s="206">
        <v>21.48</v>
      </c>
      <c r="D1232" s="206">
        <v>9.75</v>
      </c>
      <c r="E1232" s="206">
        <f t="shared" si="278"/>
        <v>11.73</v>
      </c>
      <c r="F1232" s="206" t="s">
        <v>23</v>
      </c>
      <c r="G1232" s="206" t="s">
        <v>929</v>
      </c>
      <c r="H1232" s="146">
        <v>1325</v>
      </c>
      <c r="I1232" s="146">
        <f t="shared" si="315"/>
        <v>15542.25</v>
      </c>
      <c r="J1232" s="146">
        <v>2000</v>
      </c>
      <c r="K1232" s="146">
        <f t="shared" si="316"/>
        <v>17542.25</v>
      </c>
      <c r="L1232" s="146">
        <v>0</v>
      </c>
      <c r="M1232" s="146">
        <f t="shared" si="317"/>
        <v>17542.25</v>
      </c>
      <c r="N1232" s="329" t="s">
        <v>44</v>
      </c>
    </row>
    <row r="1233" spans="1:14" ht="15" customHeight="1" x14ac:dyDescent="0.25">
      <c r="A1233" s="159">
        <v>46049</v>
      </c>
      <c r="B1233" s="180" t="s">
        <v>88</v>
      </c>
      <c r="C1233" s="180">
        <v>30.66</v>
      </c>
      <c r="D1233" s="180">
        <v>9.43</v>
      </c>
      <c r="E1233" s="180">
        <f t="shared" si="278"/>
        <v>21.23</v>
      </c>
      <c r="F1233" s="180" t="s">
        <v>23</v>
      </c>
      <c r="G1233" s="180" t="s">
        <v>1035</v>
      </c>
      <c r="H1233" s="181">
        <v>1300</v>
      </c>
      <c r="I1233" s="181">
        <f t="shared" ref="I1233:I1234" si="318">H1233*E1233</f>
        <v>27599</v>
      </c>
      <c r="J1233" s="181">
        <v>0</v>
      </c>
      <c r="K1233" s="181">
        <f t="shared" ref="K1233:K1234" si="319">I1233+J1233</f>
        <v>27599</v>
      </c>
      <c r="L1233" s="181">
        <v>0</v>
      </c>
      <c r="M1233" s="181">
        <f t="shared" ref="M1233:M1234" si="320">K1233-L1233</f>
        <v>27599</v>
      </c>
      <c r="N1233" s="334" t="s">
        <v>44</v>
      </c>
    </row>
    <row r="1234" spans="1:14" ht="15" customHeight="1" x14ac:dyDescent="0.25">
      <c r="A1234" s="163">
        <v>46049</v>
      </c>
      <c r="B1234" s="184" t="s">
        <v>42</v>
      </c>
      <c r="C1234" s="184">
        <v>29.32</v>
      </c>
      <c r="D1234" s="184">
        <v>9.77</v>
      </c>
      <c r="E1234" s="184">
        <f t="shared" si="278"/>
        <v>19.55</v>
      </c>
      <c r="F1234" s="184" t="s">
        <v>38</v>
      </c>
      <c r="G1234" s="184" t="s">
        <v>1035</v>
      </c>
      <c r="H1234" s="139">
        <v>500</v>
      </c>
      <c r="I1234" s="139">
        <f t="shared" si="318"/>
        <v>9775</v>
      </c>
      <c r="J1234" s="139">
        <v>0</v>
      </c>
      <c r="K1234" s="139">
        <f t="shared" si="319"/>
        <v>9775</v>
      </c>
      <c r="L1234" s="139">
        <v>0</v>
      </c>
      <c r="M1234" s="139">
        <f t="shared" si="320"/>
        <v>9775</v>
      </c>
      <c r="N1234" s="331" t="s">
        <v>44</v>
      </c>
    </row>
    <row r="1235" spans="1:14" ht="15" customHeight="1" x14ac:dyDescent="0.25">
      <c r="A1235" s="163">
        <v>46049</v>
      </c>
      <c r="B1235" s="184" t="s">
        <v>42</v>
      </c>
      <c r="C1235" s="184">
        <v>30.08</v>
      </c>
      <c r="D1235" s="184">
        <v>9.3699999999999992</v>
      </c>
      <c r="E1235" s="184">
        <f t="shared" si="278"/>
        <v>20.71</v>
      </c>
      <c r="F1235" s="184" t="s">
        <v>23</v>
      </c>
      <c r="G1235" s="184" t="s">
        <v>1035</v>
      </c>
      <c r="H1235" s="139">
        <v>1300</v>
      </c>
      <c r="I1235" s="139">
        <f t="shared" ref="I1235:I1239" si="321">H1235*E1235</f>
        <v>26923</v>
      </c>
      <c r="J1235" s="139">
        <v>0</v>
      </c>
      <c r="K1235" s="139">
        <f t="shared" ref="K1235:K1239" si="322">I1235+J1235</f>
        <v>26923</v>
      </c>
      <c r="L1235" s="139">
        <v>0</v>
      </c>
      <c r="M1235" s="139">
        <f t="shared" ref="M1235:M1239" si="323">K1235-L1235</f>
        <v>26923</v>
      </c>
      <c r="N1235" s="331" t="s">
        <v>44</v>
      </c>
    </row>
    <row r="1236" spans="1:14" ht="15" customHeight="1" thickBot="1" x14ac:dyDescent="0.3">
      <c r="A1236" s="166">
        <v>46049</v>
      </c>
      <c r="B1236" s="206" t="s">
        <v>88</v>
      </c>
      <c r="C1236" s="206">
        <v>29.27</v>
      </c>
      <c r="D1236" s="206">
        <v>9.7799999999999994</v>
      </c>
      <c r="E1236" s="206">
        <f t="shared" si="278"/>
        <v>19.490000000000002</v>
      </c>
      <c r="F1236" s="206" t="s">
        <v>35</v>
      </c>
      <c r="G1236" s="206" t="s">
        <v>929</v>
      </c>
      <c r="H1236" s="146">
        <v>1125</v>
      </c>
      <c r="I1236" s="146">
        <f t="shared" si="321"/>
        <v>21926.250000000004</v>
      </c>
      <c r="J1236" s="146">
        <v>0</v>
      </c>
      <c r="K1236" s="146">
        <f t="shared" si="322"/>
        <v>21926.250000000004</v>
      </c>
      <c r="L1236" s="146">
        <v>0</v>
      </c>
      <c r="M1236" s="146">
        <f t="shared" si="323"/>
        <v>21926.250000000004</v>
      </c>
      <c r="N1236" s="352" t="s">
        <v>44</v>
      </c>
    </row>
    <row r="1237" spans="1:14" ht="15" customHeight="1" x14ac:dyDescent="0.25">
      <c r="A1237" s="159">
        <v>46052</v>
      </c>
      <c r="B1237" s="180" t="s">
        <v>40</v>
      </c>
      <c r="C1237" s="180">
        <v>6.57</v>
      </c>
      <c r="D1237" s="180">
        <v>2.95</v>
      </c>
      <c r="E1237" s="180">
        <f t="shared" si="278"/>
        <v>3.62</v>
      </c>
      <c r="F1237" s="180" t="s">
        <v>18</v>
      </c>
      <c r="G1237" s="180" t="s">
        <v>186</v>
      </c>
      <c r="H1237" s="181">
        <v>1250</v>
      </c>
      <c r="I1237" s="181">
        <f t="shared" si="321"/>
        <v>4525</v>
      </c>
      <c r="J1237" s="181">
        <v>0</v>
      </c>
      <c r="K1237" s="181">
        <f t="shared" si="322"/>
        <v>4525</v>
      </c>
      <c r="L1237" s="181">
        <v>25</v>
      </c>
      <c r="M1237" s="181">
        <f t="shared" si="323"/>
        <v>4500</v>
      </c>
      <c r="N1237" s="405" t="s">
        <v>20</v>
      </c>
    </row>
    <row r="1238" spans="1:14" ht="15" customHeight="1" thickBot="1" x14ac:dyDescent="0.3">
      <c r="A1238" s="209">
        <v>46052</v>
      </c>
      <c r="B1238" s="187" t="s">
        <v>40</v>
      </c>
      <c r="C1238" s="187">
        <v>6.37</v>
      </c>
      <c r="D1238" s="187">
        <v>2.9</v>
      </c>
      <c r="E1238" s="187">
        <f t="shared" si="278"/>
        <v>3.47</v>
      </c>
      <c r="F1238" s="187" t="s">
        <v>18</v>
      </c>
      <c r="G1238" s="187" t="s">
        <v>186</v>
      </c>
      <c r="H1238" s="188">
        <v>1250</v>
      </c>
      <c r="I1238" s="188">
        <f t="shared" si="321"/>
        <v>4337.5</v>
      </c>
      <c r="J1238" s="188">
        <v>0</v>
      </c>
      <c r="K1238" s="188">
        <f t="shared" si="322"/>
        <v>4337.5</v>
      </c>
      <c r="L1238" s="188">
        <v>37.5</v>
      </c>
      <c r="M1238" s="188">
        <f t="shared" si="323"/>
        <v>4300</v>
      </c>
      <c r="N1238" s="398" t="s">
        <v>20</v>
      </c>
    </row>
    <row r="1239" spans="1:14" ht="15" customHeight="1" thickBot="1" x14ac:dyDescent="0.3">
      <c r="A1239" s="401">
        <v>46053</v>
      </c>
      <c r="B1239" s="353" t="s">
        <v>1055</v>
      </c>
      <c r="C1239" s="353">
        <v>5.61</v>
      </c>
      <c r="D1239" s="353">
        <v>1.87</v>
      </c>
      <c r="E1239" s="353">
        <f t="shared" si="278"/>
        <v>3.74</v>
      </c>
      <c r="F1239" s="353" t="s">
        <v>23</v>
      </c>
      <c r="G1239" s="353" t="s">
        <v>1056</v>
      </c>
      <c r="H1239" s="356">
        <v>1400</v>
      </c>
      <c r="I1239" s="356">
        <f t="shared" si="321"/>
        <v>5236</v>
      </c>
      <c r="J1239" s="356">
        <v>0</v>
      </c>
      <c r="K1239" s="356">
        <f t="shared" si="322"/>
        <v>5236</v>
      </c>
      <c r="L1239" s="356">
        <v>6</v>
      </c>
      <c r="M1239" s="356">
        <f t="shared" si="323"/>
        <v>5230</v>
      </c>
      <c r="N1239" s="402" t="s">
        <v>20</v>
      </c>
    </row>
    <row r="1240" spans="1:14" ht="15" customHeight="1" thickBot="1" x14ac:dyDescent="0.3">
      <c r="A1240" s="349"/>
      <c r="B1240" s="415"/>
      <c r="C1240" s="200">
        <f t="shared" ref="C1240" si="324">SUM(C1178:C1239)</f>
        <v>1484.6999999999998</v>
      </c>
      <c r="D1240" s="200">
        <f t="shared" ref="D1240" si="325">SUM(D1178:D1239)</f>
        <v>510.79999999999995</v>
      </c>
      <c r="E1240" s="200">
        <f t="shared" ref="E1240" si="326">SUM(E1178:E1239)</f>
        <v>973.89999999999975</v>
      </c>
      <c r="F1240" s="415"/>
      <c r="G1240" s="415"/>
      <c r="H1240" s="416"/>
      <c r="I1240" s="172">
        <f t="shared" ref="I1240:L1240" si="327">SUM(I1178:I1239)</f>
        <v>1156905.95</v>
      </c>
      <c r="J1240" s="172">
        <f t="shared" si="327"/>
        <v>10752</v>
      </c>
      <c r="K1240" s="172">
        <f t="shared" si="327"/>
        <v>1167657.95</v>
      </c>
      <c r="L1240" s="172">
        <f t="shared" si="327"/>
        <v>25325</v>
      </c>
      <c r="M1240" s="172">
        <f>SUM(M1178:M1239)</f>
        <v>1142332.95</v>
      </c>
      <c r="N1240" s="306"/>
    </row>
    <row r="1243" spans="1:14" ht="15" customHeight="1" thickBot="1" x14ac:dyDescent="0.3">
      <c r="A1243" s="455" t="s">
        <v>1150</v>
      </c>
      <c r="B1243" s="456"/>
      <c r="C1243" s="456"/>
      <c r="D1243" s="456"/>
      <c r="E1243" s="456"/>
      <c r="F1243" s="456"/>
      <c r="G1243" s="456"/>
      <c r="H1243" s="456"/>
      <c r="I1243" s="456"/>
      <c r="J1243" s="456"/>
      <c r="K1243" s="456"/>
      <c r="L1243" s="456"/>
      <c r="M1243" s="456"/>
      <c r="N1243" s="456"/>
    </row>
    <row r="1244" spans="1:14" ht="15" customHeight="1" thickBot="1" x14ac:dyDescent="0.3">
      <c r="A1244" s="176" t="s">
        <v>1</v>
      </c>
      <c r="B1244" s="177" t="s">
        <v>2</v>
      </c>
      <c r="C1244" s="177" t="s">
        <v>3</v>
      </c>
      <c r="D1244" s="177" t="s">
        <v>4</v>
      </c>
      <c r="E1244" s="177" t="s">
        <v>5</v>
      </c>
      <c r="F1244" s="177" t="s">
        <v>6</v>
      </c>
      <c r="G1244" s="177" t="s">
        <v>7</v>
      </c>
      <c r="H1244" s="177" t="s">
        <v>8</v>
      </c>
      <c r="I1244" s="177" t="s">
        <v>9</v>
      </c>
      <c r="J1244" s="177" t="s">
        <v>10</v>
      </c>
      <c r="K1244" s="177" t="s">
        <v>11</v>
      </c>
      <c r="L1244" s="177" t="s">
        <v>12</v>
      </c>
      <c r="M1244" s="177" t="s">
        <v>13</v>
      </c>
      <c r="N1244" s="178" t="s">
        <v>14</v>
      </c>
    </row>
    <row r="1245" spans="1:14" ht="15" customHeight="1" x14ac:dyDescent="0.25">
      <c r="A1245" s="179">
        <v>46055</v>
      </c>
      <c r="B1245" s="180" t="s">
        <v>49</v>
      </c>
      <c r="C1245" s="180">
        <v>30.83</v>
      </c>
      <c r="D1245" s="180">
        <v>9.65</v>
      </c>
      <c r="E1245" s="180">
        <f t="shared" ref="E1245:E1258" si="328">C1245-D1245</f>
        <v>21.18</v>
      </c>
      <c r="F1245" s="180" t="s">
        <v>26</v>
      </c>
      <c r="G1245" s="180" t="s">
        <v>57</v>
      </c>
      <c r="H1245" s="181">
        <v>1365</v>
      </c>
      <c r="I1245" s="181">
        <f t="shared" ref="I1245:I1254" si="329">H1245*E1245</f>
        <v>28910.7</v>
      </c>
      <c r="J1245" s="181">
        <v>0</v>
      </c>
      <c r="K1245" s="181">
        <f t="shared" ref="K1245:K1254" si="330">I1245+J1245</f>
        <v>28910.7</v>
      </c>
      <c r="L1245" s="181">
        <v>0</v>
      </c>
      <c r="M1245" s="181">
        <f t="shared" ref="M1245:M1254" si="331">K1245-L1245</f>
        <v>28910.7</v>
      </c>
      <c r="N1245" s="334" t="s">
        <v>44</v>
      </c>
    </row>
    <row r="1246" spans="1:14" ht="15" customHeight="1" x14ac:dyDescent="0.25">
      <c r="A1246" s="183">
        <v>46055</v>
      </c>
      <c r="B1246" s="184" t="s">
        <v>30</v>
      </c>
      <c r="C1246" s="184">
        <v>30.57</v>
      </c>
      <c r="D1246" s="184">
        <v>9.6</v>
      </c>
      <c r="E1246" s="184">
        <f t="shared" si="328"/>
        <v>20.97</v>
      </c>
      <c r="F1246" s="184" t="s">
        <v>26</v>
      </c>
      <c r="G1246" s="184" t="s">
        <v>57</v>
      </c>
      <c r="H1246" s="139">
        <v>1365</v>
      </c>
      <c r="I1246" s="139">
        <f t="shared" si="329"/>
        <v>28624.05</v>
      </c>
      <c r="J1246" s="139">
        <v>0</v>
      </c>
      <c r="K1246" s="139">
        <f t="shared" si="330"/>
        <v>28624.05</v>
      </c>
      <c r="L1246" s="139">
        <v>0</v>
      </c>
      <c r="M1246" s="139">
        <f t="shared" si="331"/>
        <v>28624.05</v>
      </c>
      <c r="N1246" s="331" t="s">
        <v>44</v>
      </c>
    </row>
    <row r="1247" spans="1:14" ht="15" customHeight="1" x14ac:dyDescent="0.25">
      <c r="A1247" s="183">
        <v>46055</v>
      </c>
      <c r="B1247" s="184" t="s">
        <v>67</v>
      </c>
      <c r="C1247" s="184">
        <v>32.74</v>
      </c>
      <c r="D1247" s="184">
        <v>9.2799999999999994</v>
      </c>
      <c r="E1247" s="184">
        <f t="shared" si="328"/>
        <v>23.46</v>
      </c>
      <c r="F1247" s="184" t="s">
        <v>26</v>
      </c>
      <c r="G1247" s="184" t="s">
        <v>57</v>
      </c>
      <c r="H1247" s="139">
        <v>1365</v>
      </c>
      <c r="I1247" s="139">
        <f t="shared" si="329"/>
        <v>32022.9</v>
      </c>
      <c r="J1247" s="139">
        <v>0</v>
      </c>
      <c r="K1247" s="139">
        <f t="shared" si="330"/>
        <v>32022.9</v>
      </c>
      <c r="L1247" s="139">
        <v>0</v>
      </c>
      <c r="M1247" s="139">
        <f t="shared" si="331"/>
        <v>32022.9</v>
      </c>
      <c r="N1247" s="331" t="s">
        <v>44</v>
      </c>
    </row>
    <row r="1248" spans="1:14" ht="15" customHeight="1" x14ac:dyDescent="0.25">
      <c r="A1248" s="183">
        <v>46055</v>
      </c>
      <c r="B1248" s="184" t="s">
        <v>47</v>
      </c>
      <c r="C1248" s="184">
        <v>31.05</v>
      </c>
      <c r="D1248" s="184">
        <v>9.49</v>
      </c>
      <c r="E1248" s="184">
        <f t="shared" si="328"/>
        <v>21.560000000000002</v>
      </c>
      <c r="F1248" s="184" t="s">
        <v>23</v>
      </c>
      <c r="G1248" s="184" t="s">
        <v>1041</v>
      </c>
      <c r="H1248" s="139">
        <v>1400</v>
      </c>
      <c r="I1248" s="139">
        <f t="shared" si="329"/>
        <v>30184.000000000004</v>
      </c>
      <c r="J1248" s="139">
        <v>0</v>
      </c>
      <c r="K1248" s="139">
        <f t="shared" si="330"/>
        <v>30184.000000000004</v>
      </c>
      <c r="L1248" s="139">
        <v>0</v>
      </c>
      <c r="M1248" s="139">
        <f t="shared" si="331"/>
        <v>30184.000000000004</v>
      </c>
      <c r="N1248" s="394" t="s">
        <v>44</v>
      </c>
    </row>
    <row r="1249" spans="1:14" ht="15" customHeight="1" thickBot="1" x14ac:dyDescent="0.3">
      <c r="A1249" s="214">
        <v>46055</v>
      </c>
      <c r="B1249" s="206" t="s">
        <v>1151</v>
      </c>
      <c r="C1249" s="206">
        <v>31.96</v>
      </c>
      <c r="D1249" s="206">
        <v>9.2899999999999991</v>
      </c>
      <c r="E1249" s="206">
        <f t="shared" si="328"/>
        <v>22.67</v>
      </c>
      <c r="F1249" s="206" t="s">
        <v>23</v>
      </c>
      <c r="G1249" s="206" t="s">
        <v>1041</v>
      </c>
      <c r="H1249" s="146">
        <v>1400</v>
      </c>
      <c r="I1249" s="146">
        <f t="shared" si="329"/>
        <v>31738.000000000004</v>
      </c>
      <c r="J1249" s="146">
        <v>0</v>
      </c>
      <c r="K1249" s="146">
        <f t="shared" si="330"/>
        <v>31738.000000000004</v>
      </c>
      <c r="L1249" s="146">
        <v>0</v>
      </c>
      <c r="M1249" s="146">
        <f t="shared" si="331"/>
        <v>31738.000000000004</v>
      </c>
      <c r="N1249" s="406" t="s">
        <v>44</v>
      </c>
    </row>
    <row r="1250" spans="1:14" ht="15" customHeight="1" x14ac:dyDescent="0.25">
      <c r="A1250" s="179">
        <v>46057</v>
      </c>
      <c r="B1250" s="180" t="s">
        <v>944</v>
      </c>
      <c r="C1250" s="180">
        <v>7.15</v>
      </c>
      <c r="D1250" s="180">
        <v>3.11</v>
      </c>
      <c r="E1250" s="180">
        <f t="shared" si="328"/>
        <v>4.0400000000000009</v>
      </c>
      <c r="F1250" s="180" t="s">
        <v>23</v>
      </c>
      <c r="G1250" s="180" t="s">
        <v>1152</v>
      </c>
      <c r="H1250" s="181">
        <v>1450</v>
      </c>
      <c r="I1250" s="181">
        <f t="shared" si="329"/>
        <v>5858.0000000000009</v>
      </c>
      <c r="J1250" s="181">
        <v>0</v>
      </c>
      <c r="K1250" s="181">
        <f t="shared" si="330"/>
        <v>5858.0000000000009</v>
      </c>
      <c r="L1250" s="181">
        <v>8</v>
      </c>
      <c r="M1250" s="181">
        <f t="shared" si="331"/>
        <v>5850.0000000000009</v>
      </c>
      <c r="N1250" s="418" t="s">
        <v>25</v>
      </c>
    </row>
    <row r="1251" spans="1:14" ht="15" customHeight="1" x14ac:dyDescent="0.25">
      <c r="A1251" s="183">
        <v>46057</v>
      </c>
      <c r="B1251" s="184" t="s">
        <v>49</v>
      </c>
      <c r="C1251" s="184">
        <v>15.29</v>
      </c>
      <c r="D1251" s="184">
        <v>9.7899999999999991</v>
      </c>
      <c r="E1251" s="184">
        <f t="shared" si="328"/>
        <v>5.5</v>
      </c>
      <c r="F1251" s="184" t="s">
        <v>23</v>
      </c>
      <c r="G1251" s="184" t="s">
        <v>1153</v>
      </c>
      <c r="H1251" s="139">
        <v>1400</v>
      </c>
      <c r="I1251" s="139">
        <f t="shared" si="329"/>
        <v>7700</v>
      </c>
      <c r="J1251" s="139">
        <v>0</v>
      </c>
      <c r="K1251" s="139">
        <f t="shared" si="330"/>
        <v>7700</v>
      </c>
      <c r="L1251" s="139">
        <v>0</v>
      </c>
      <c r="M1251" s="139">
        <f t="shared" si="331"/>
        <v>7700</v>
      </c>
      <c r="N1251" s="419" t="s">
        <v>20</v>
      </c>
    </row>
    <row r="1252" spans="1:14" ht="15" customHeight="1" thickBot="1" x14ac:dyDescent="0.3">
      <c r="A1252" s="186">
        <v>46057</v>
      </c>
      <c r="B1252" s="187" t="s">
        <v>944</v>
      </c>
      <c r="C1252" s="187">
        <v>7.15</v>
      </c>
      <c r="D1252" s="187">
        <v>3.2</v>
      </c>
      <c r="E1252" s="187">
        <f t="shared" si="328"/>
        <v>3.95</v>
      </c>
      <c r="F1252" s="187" t="s">
        <v>23</v>
      </c>
      <c r="G1252" s="187" t="s">
        <v>1152</v>
      </c>
      <c r="H1252" s="188">
        <v>1450</v>
      </c>
      <c r="I1252" s="188">
        <f t="shared" si="329"/>
        <v>5727.5</v>
      </c>
      <c r="J1252" s="188">
        <v>0</v>
      </c>
      <c r="K1252" s="188">
        <f t="shared" si="330"/>
        <v>5727.5</v>
      </c>
      <c r="L1252" s="188">
        <v>7.5</v>
      </c>
      <c r="M1252" s="188">
        <f t="shared" si="331"/>
        <v>5720</v>
      </c>
      <c r="N1252" s="420" t="s">
        <v>25</v>
      </c>
    </row>
    <row r="1253" spans="1:14" ht="15" customHeight="1" thickBot="1" x14ac:dyDescent="0.3">
      <c r="A1253" s="421">
        <v>46058</v>
      </c>
      <c r="B1253" s="400" t="s">
        <v>67</v>
      </c>
      <c r="C1253" s="400">
        <v>22.31</v>
      </c>
      <c r="D1253" s="400">
        <v>9.4499999999999993</v>
      </c>
      <c r="E1253" s="400">
        <f t="shared" si="328"/>
        <v>12.86</v>
      </c>
      <c r="F1253" s="400" t="s">
        <v>23</v>
      </c>
      <c r="G1253" s="400" t="s">
        <v>1154</v>
      </c>
      <c r="H1253" s="316">
        <v>1450</v>
      </c>
      <c r="I1253" s="316">
        <f t="shared" si="329"/>
        <v>18647</v>
      </c>
      <c r="J1253" s="316">
        <v>1000</v>
      </c>
      <c r="K1253" s="316">
        <f t="shared" si="330"/>
        <v>19647</v>
      </c>
      <c r="L1253" s="316">
        <v>47</v>
      </c>
      <c r="M1253" s="316">
        <f t="shared" si="331"/>
        <v>19600</v>
      </c>
      <c r="N1253" s="422" t="s">
        <v>20</v>
      </c>
    </row>
    <row r="1254" spans="1:14" ht="15" customHeight="1" thickBot="1" x14ac:dyDescent="0.3">
      <c r="A1254" s="368">
        <v>46059</v>
      </c>
      <c r="B1254" s="353" t="s">
        <v>42</v>
      </c>
      <c r="C1254" s="353">
        <v>31.23</v>
      </c>
      <c r="D1254" s="353">
        <v>9.7799999999999994</v>
      </c>
      <c r="E1254" s="353">
        <f t="shared" si="328"/>
        <v>21.450000000000003</v>
      </c>
      <c r="F1254" s="353" t="s">
        <v>23</v>
      </c>
      <c r="G1254" s="353" t="s">
        <v>43</v>
      </c>
      <c r="H1254" s="356">
        <v>1600</v>
      </c>
      <c r="I1254" s="356">
        <f t="shared" si="329"/>
        <v>34320.000000000007</v>
      </c>
      <c r="J1254" s="356">
        <v>0</v>
      </c>
      <c r="K1254" s="356">
        <f t="shared" si="330"/>
        <v>34320.000000000007</v>
      </c>
      <c r="L1254" s="356">
        <v>0</v>
      </c>
      <c r="M1254" s="356">
        <f t="shared" si="331"/>
        <v>34320.000000000007</v>
      </c>
      <c r="N1254" s="423" t="s">
        <v>44</v>
      </c>
    </row>
    <row r="1255" spans="1:14" ht="15" customHeight="1" x14ac:dyDescent="0.25">
      <c r="A1255" s="179">
        <v>46060</v>
      </c>
      <c r="B1255" s="180" t="s">
        <v>42</v>
      </c>
      <c r="C1255" s="180">
        <v>31.97</v>
      </c>
      <c r="D1255" s="180">
        <v>9.39</v>
      </c>
      <c r="E1255" s="180">
        <f t="shared" si="328"/>
        <v>22.58</v>
      </c>
      <c r="F1255" s="180" t="s">
        <v>26</v>
      </c>
      <c r="G1255" s="180" t="s">
        <v>57</v>
      </c>
      <c r="H1255" s="181">
        <v>1365</v>
      </c>
      <c r="I1255" s="181">
        <f t="shared" ref="I1255:I1259" si="332">H1255*E1255</f>
        <v>30821.699999999997</v>
      </c>
      <c r="J1255" s="181">
        <v>0</v>
      </c>
      <c r="K1255" s="181">
        <f t="shared" ref="K1255:K1259" si="333">I1255+J1255</f>
        <v>30821.699999999997</v>
      </c>
      <c r="L1255" s="181">
        <v>0</v>
      </c>
      <c r="M1255" s="181">
        <f t="shared" ref="M1255:M1259" si="334">K1255-L1255</f>
        <v>30821.699999999997</v>
      </c>
      <c r="N1255" s="334" t="s">
        <v>44</v>
      </c>
    </row>
    <row r="1256" spans="1:14" ht="15" customHeight="1" x14ac:dyDescent="0.25">
      <c r="A1256" s="183">
        <v>46060</v>
      </c>
      <c r="B1256" s="184" t="s">
        <v>67</v>
      </c>
      <c r="C1256" s="184">
        <v>32.5</v>
      </c>
      <c r="D1256" s="417">
        <v>9.44</v>
      </c>
      <c r="E1256" s="184">
        <f t="shared" si="328"/>
        <v>23.060000000000002</v>
      </c>
      <c r="F1256" s="184" t="s">
        <v>26</v>
      </c>
      <c r="G1256" s="184" t="s">
        <v>57</v>
      </c>
      <c r="H1256" s="139">
        <v>1365</v>
      </c>
      <c r="I1256" s="139">
        <f t="shared" si="332"/>
        <v>31476.9</v>
      </c>
      <c r="J1256" s="139">
        <v>0</v>
      </c>
      <c r="K1256" s="139">
        <f t="shared" si="333"/>
        <v>31476.9</v>
      </c>
      <c r="L1256" s="139">
        <v>0</v>
      </c>
      <c r="M1256" s="139">
        <f t="shared" si="334"/>
        <v>31476.9</v>
      </c>
      <c r="N1256" s="331" t="s">
        <v>44</v>
      </c>
    </row>
    <row r="1257" spans="1:14" ht="15" customHeight="1" x14ac:dyDescent="0.25">
      <c r="A1257" s="183">
        <v>46060</v>
      </c>
      <c r="B1257" s="184" t="s">
        <v>30</v>
      </c>
      <c r="C1257" s="184">
        <v>31.04</v>
      </c>
      <c r="D1257" s="417">
        <v>9.67</v>
      </c>
      <c r="E1257" s="184">
        <f t="shared" si="328"/>
        <v>21.369999999999997</v>
      </c>
      <c r="F1257" s="184" t="s">
        <v>26</v>
      </c>
      <c r="G1257" s="184" t="s">
        <v>57</v>
      </c>
      <c r="H1257" s="139">
        <v>1365</v>
      </c>
      <c r="I1257" s="139">
        <f t="shared" si="332"/>
        <v>29170.049999999996</v>
      </c>
      <c r="J1257" s="139">
        <v>0</v>
      </c>
      <c r="K1257" s="139">
        <f t="shared" si="333"/>
        <v>29170.049999999996</v>
      </c>
      <c r="L1257" s="139">
        <v>0</v>
      </c>
      <c r="M1257" s="139">
        <f t="shared" si="334"/>
        <v>29170.049999999996</v>
      </c>
      <c r="N1257" s="331" t="s">
        <v>44</v>
      </c>
    </row>
    <row r="1258" spans="1:14" ht="15" customHeight="1" thickBot="1" x14ac:dyDescent="0.3">
      <c r="A1258" s="186">
        <v>46060</v>
      </c>
      <c r="B1258" s="187" t="s">
        <v>51</v>
      </c>
      <c r="C1258" s="187">
        <v>32.17</v>
      </c>
      <c r="D1258" s="424">
        <v>9.31</v>
      </c>
      <c r="E1258" s="187">
        <f t="shared" si="328"/>
        <v>22.86</v>
      </c>
      <c r="F1258" s="187" t="s">
        <v>26</v>
      </c>
      <c r="G1258" s="187" t="s">
        <v>57</v>
      </c>
      <c r="H1258" s="188">
        <v>1365</v>
      </c>
      <c r="I1258" s="188">
        <f t="shared" si="332"/>
        <v>31203.899999999998</v>
      </c>
      <c r="J1258" s="188">
        <v>0</v>
      </c>
      <c r="K1258" s="188">
        <f t="shared" si="333"/>
        <v>31203.899999999998</v>
      </c>
      <c r="L1258" s="188">
        <v>0</v>
      </c>
      <c r="M1258" s="188">
        <f t="shared" si="334"/>
        <v>31203.899999999998</v>
      </c>
      <c r="N1258" s="397" t="s">
        <v>44</v>
      </c>
    </row>
    <row r="1259" spans="1:14" ht="15" customHeight="1" x14ac:dyDescent="0.25">
      <c r="A1259" s="179">
        <v>46063</v>
      </c>
      <c r="B1259" s="180" t="s">
        <v>49</v>
      </c>
      <c r="C1259" s="180">
        <v>26.43</v>
      </c>
      <c r="D1259" s="180">
        <v>9.6300000000000008</v>
      </c>
      <c r="E1259" s="180">
        <f t="shared" ref="E1259:E1260" si="335">C1259-D1259</f>
        <v>16.799999999999997</v>
      </c>
      <c r="F1259" s="180" t="s">
        <v>26</v>
      </c>
      <c r="G1259" s="180" t="s">
        <v>57</v>
      </c>
      <c r="H1259" s="181">
        <v>1365</v>
      </c>
      <c r="I1259" s="181">
        <f t="shared" si="332"/>
        <v>22931.999999999996</v>
      </c>
      <c r="J1259" s="181">
        <v>0</v>
      </c>
      <c r="K1259" s="181">
        <f t="shared" si="333"/>
        <v>22931.999999999996</v>
      </c>
      <c r="L1259" s="181">
        <v>0</v>
      </c>
      <c r="M1259" s="181">
        <f t="shared" si="334"/>
        <v>22931.999999999996</v>
      </c>
      <c r="N1259" s="334" t="s">
        <v>44</v>
      </c>
    </row>
    <row r="1260" spans="1:14" ht="15" customHeight="1" thickBot="1" x14ac:dyDescent="0.3">
      <c r="A1260" s="425">
        <v>46063</v>
      </c>
      <c r="B1260" s="206" t="s">
        <v>67</v>
      </c>
      <c r="C1260" s="206">
        <v>30.57</v>
      </c>
      <c r="D1260" s="426">
        <v>9.4700000000000006</v>
      </c>
      <c r="E1260" s="206">
        <f t="shared" si="335"/>
        <v>21.1</v>
      </c>
      <c r="F1260" s="206" t="s">
        <v>26</v>
      </c>
      <c r="G1260" s="206" t="s">
        <v>57</v>
      </c>
      <c r="H1260" s="146">
        <v>1365</v>
      </c>
      <c r="I1260" s="146">
        <f t="shared" ref="I1260" si="336">H1260*E1260</f>
        <v>28801.500000000004</v>
      </c>
      <c r="J1260" s="146">
        <v>0</v>
      </c>
      <c r="K1260" s="146">
        <f t="shared" ref="K1260" si="337">I1260+J1260</f>
        <v>28801.500000000004</v>
      </c>
      <c r="L1260" s="146">
        <v>0</v>
      </c>
      <c r="M1260" s="146">
        <f t="shared" ref="M1260" si="338">K1260-L1260</f>
        <v>28801.500000000004</v>
      </c>
      <c r="N1260" s="352" t="s">
        <v>44</v>
      </c>
    </row>
    <row r="1261" spans="1:14" ht="15" customHeight="1" x14ac:dyDescent="0.25">
      <c r="A1261" s="179">
        <v>46064</v>
      </c>
      <c r="B1261" s="180" t="s">
        <v>67</v>
      </c>
      <c r="C1261" s="180">
        <v>29.78</v>
      </c>
      <c r="D1261" s="427">
        <v>9.7200000000000006</v>
      </c>
      <c r="E1261" s="180">
        <f t="shared" ref="E1261:E1287" si="339">C1261-D1261</f>
        <v>20.060000000000002</v>
      </c>
      <c r="F1261" s="180" t="s">
        <v>26</v>
      </c>
      <c r="G1261" s="180" t="s">
        <v>57</v>
      </c>
      <c r="H1261" s="181">
        <v>1365</v>
      </c>
      <c r="I1261" s="181">
        <f t="shared" ref="I1261:I1262" si="340">H1261*E1261</f>
        <v>27381.9</v>
      </c>
      <c r="J1261" s="181">
        <v>0</v>
      </c>
      <c r="K1261" s="181">
        <f t="shared" ref="K1261:K1262" si="341">I1261+J1261</f>
        <v>27381.9</v>
      </c>
      <c r="L1261" s="181">
        <v>0</v>
      </c>
      <c r="M1261" s="181">
        <f t="shared" ref="M1261:M1262" si="342">K1261-L1261</f>
        <v>27381.9</v>
      </c>
      <c r="N1261" s="334" t="s">
        <v>44</v>
      </c>
    </row>
    <row r="1262" spans="1:14" ht="15" customHeight="1" thickBot="1" x14ac:dyDescent="0.3">
      <c r="A1262" s="214">
        <v>46064</v>
      </c>
      <c r="B1262" s="206" t="s">
        <v>42</v>
      </c>
      <c r="C1262" s="206">
        <v>26.64</v>
      </c>
      <c r="D1262" s="206">
        <v>9.89</v>
      </c>
      <c r="E1262" s="206">
        <f t="shared" si="339"/>
        <v>16.75</v>
      </c>
      <c r="F1262" s="206" t="s">
        <v>26</v>
      </c>
      <c r="G1262" s="206" t="s">
        <v>57</v>
      </c>
      <c r="H1262" s="146">
        <v>1365</v>
      </c>
      <c r="I1262" s="146">
        <f t="shared" si="340"/>
        <v>22863.75</v>
      </c>
      <c r="J1262" s="146">
        <v>0</v>
      </c>
      <c r="K1262" s="146">
        <f t="shared" si="341"/>
        <v>22863.75</v>
      </c>
      <c r="L1262" s="146">
        <v>0</v>
      </c>
      <c r="M1262" s="146">
        <f t="shared" si="342"/>
        <v>22863.75</v>
      </c>
      <c r="N1262" s="352" t="s">
        <v>44</v>
      </c>
    </row>
    <row r="1263" spans="1:14" ht="15" customHeight="1" x14ac:dyDescent="0.25">
      <c r="A1263" s="179">
        <v>46066</v>
      </c>
      <c r="B1263" s="180" t="s">
        <v>42</v>
      </c>
      <c r="C1263" s="180">
        <v>29.25</v>
      </c>
      <c r="D1263" s="180">
        <v>9.39</v>
      </c>
      <c r="E1263" s="180">
        <f t="shared" si="339"/>
        <v>19.86</v>
      </c>
      <c r="F1263" s="180" t="s">
        <v>35</v>
      </c>
      <c r="G1263" s="180" t="s">
        <v>1155</v>
      </c>
      <c r="H1263" s="181">
        <v>1350</v>
      </c>
      <c r="I1263" s="181">
        <f t="shared" ref="I1263" si="343">H1263*E1263</f>
        <v>26811</v>
      </c>
      <c r="J1263" s="181">
        <v>0</v>
      </c>
      <c r="K1263" s="181">
        <f t="shared" ref="K1263" si="344">I1263+J1263</f>
        <v>26811</v>
      </c>
      <c r="L1263" s="181">
        <v>0</v>
      </c>
      <c r="M1263" s="181">
        <f t="shared" ref="M1263" si="345">K1263-L1263</f>
        <v>26811</v>
      </c>
      <c r="N1263" s="334" t="s">
        <v>44</v>
      </c>
    </row>
    <row r="1264" spans="1:14" ht="15" customHeight="1" x14ac:dyDescent="0.25">
      <c r="A1264" s="183">
        <v>46066</v>
      </c>
      <c r="B1264" s="184" t="s">
        <v>67</v>
      </c>
      <c r="C1264" s="184">
        <v>28.23</v>
      </c>
      <c r="D1264" s="184">
        <v>9.33</v>
      </c>
      <c r="E1264" s="184">
        <f t="shared" si="339"/>
        <v>18.899999999999999</v>
      </c>
      <c r="F1264" s="184" t="s">
        <v>35</v>
      </c>
      <c r="G1264" s="184" t="s">
        <v>1155</v>
      </c>
      <c r="H1264" s="139">
        <v>1350</v>
      </c>
      <c r="I1264" s="139">
        <f t="shared" ref="I1264:I1270" si="346">H1264*E1264</f>
        <v>25514.999999999996</v>
      </c>
      <c r="J1264" s="139">
        <v>0</v>
      </c>
      <c r="K1264" s="139">
        <f t="shared" ref="K1264:K1270" si="347">I1264+J1264</f>
        <v>25514.999999999996</v>
      </c>
      <c r="L1264" s="139">
        <v>0</v>
      </c>
      <c r="M1264" s="139">
        <f t="shared" ref="M1264:M1270" si="348">K1264-L1264</f>
        <v>25514.999999999996</v>
      </c>
      <c r="N1264" s="331" t="s">
        <v>44</v>
      </c>
    </row>
    <row r="1265" spans="1:17" ht="15" customHeight="1" x14ac:dyDescent="0.25">
      <c r="A1265" s="183">
        <v>46066</v>
      </c>
      <c r="B1265" s="184" t="s">
        <v>42</v>
      </c>
      <c r="C1265" s="184">
        <v>28.88</v>
      </c>
      <c r="D1265" s="184">
        <v>9.4</v>
      </c>
      <c r="E1265" s="184">
        <f t="shared" si="339"/>
        <v>19.479999999999997</v>
      </c>
      <c r="F1265" s="184" t="s">
        <v>35</v>
      </c>
      <c r="G1265" s="184" t="s">
        <v>1155</v>
      </c>
      <c r="H1265" s="139">
        <v>1350</v>
      </c>
      <c r="I1265" s="139">
        <f t="shared" si="346"/>
        <v>26297.999999999996</v>
      </c>
      <c r="J1265" s="139">
        <v>0</v>
      </c>
      <c r="K1265" s="139">
        <f t="shared" si="347"/>
        <v>26297.999999999996</v>
      </c>
      <c r="L1265" s="139">
        <v>0</v>
      </c>
      <c r="M1265" s="139">
        <f t="shared" si="348"/>
        <v>26297.999999999996</v>
      </c>
      <c r="N1265" s="331" t="s">
        <v>44</v>
      </c>
    </row>
    <row r="1266" spans="1:17" ht="15" customHeight="1" x14ac:dyDescent="0.25">
      <c r="A1266" s="183">
        <v>46066</v>
      </c>
      <c r="B1266" s="184" t="s">
        <v>67</v>
      </c>
      <c r="C1266" s="184">
        <v>31.8</v>
      </c>
      <c r="D1266" s="184">
        <v>9.26</v>
      </c>
      <c r="E1266" s="184">
        <f t="shared" si="339"/>
        <v>22.54</v>
      </c>
      <c r="F1266" s="184" t="s">
        <v>35</v>
      </c>
      <c r="G1266" s="184" t="s">
        <v>1155</v>
      </c>
      <c r="H1266" s="139">
        <v>1350</v>
      </c>
      <c r="I1266" s="139">
        <f t="shared" si="346"/>
        <v>30429</v>
      </c>
      <c r="J1266" s="139">
        <v>0</v>
      </c>
      <c r="K1266" s="139">
        <f t="shared" si="347"/>
        <v>30429</v>
      </c>
      <c r="L1266" s="139">
        <v>0</v>
      </c>
      <c r="M1266" s="139">
        <f t="shared" si="348"/>
        <v>30429</v>
      </c>
      <c r="N1266" s="331" t="s">
        <v>44</v>
      </c>
      <c r="Q1266">
        <f>6274.5-6250</f>
        <v>24.5</v>
      </c>
    </row>
    <row r="1267" spans="1:17" ht="15" customHeight="1" thickBot="1" x14ac:dyDescent="0.3">
      <c r="A1267" s="214">
        <v>46066</v>
      </c>
      <c r="B1267" s="206" t="s">
        <v>92</v>
      </c>
      <c r="C1267" s="206">
        <v>7.39</v>
      </c>
      <c r="D1267" s="206">
        <v>3.18</v>
      </c>
      <c r="E1267" s="206">
        <f t="shared" si="339"/>
        <v>4.2099999999999991</v>
      </c>
      <c r="F1267" s="206" t="s">
        <v>23</v>
      </c>
      <c r="G1267" s="206" t="s">
        <v>188</v>
      </c>
      <c r="H1267" s="146">
        <v>1450</v>
      </c>
      <c r="I1267" s="146">
        <f t="shared" si="346"/>
        <v>6104.4999999999991</v>
      </c>
      <c r="J1267" s="146">
        <v>0</v>
      </c>
      <c r="K1267" s="146">
        <f t="shared" si="347"/>
        <v>6104.4999999999991</v>
      </c>
      <c r="L1267" s="146">
        <v>4.5</v>
      </c>
      <c r="M1267" s="146">
        <f t="shared" si="348"/>
        <v>6099.9999999999991</v>
      </c>
      <c r="N1267" s="428" t="s">
        <v>20</v>
      </c>
    </row>
    <row r="1268" spans="1:17" ht="15" customHeight="1" x14ac:dyDescent="0.25">
      <c r="A1268" s="179">
        <v>46067</v>
      </c>
      <c r="B1268" s="180" t="s">
        <v>92</v>
      </c>
      <c r="C1268" s="180">
        <v>7.59</v>
      </c>
      <c r="D1268" s="180">
        <v>3.14</v>
      </c>
      <c r="E1268" s="180">
        <f t="shared" si="339"/>
        <v>4.4499999999999993</v>
      </c>
      <c r="F1268" s="180" t="s">
        <v>35</v>
      </c>
      <c r="G1268" s="180" t="s">
        <v>1157</v>
      </c>
      <c r="H1268" s="181">
        <v>1410</v>
      </c>
      <c r="I1268" s="181">
        <f t="shared" si="346"/>
        <v>6274.4999999999991</v>
      </c>
      <c r="J1268" s="181">
        <v>0</v>
      </c>
      <c r="K1268" s="181">
        <f t="shared" si="347"/>
        <v>6274.4999999999991</v>
      </c>
      <c r="L1268" s="181">
        <v>24.5</v>
      </c>
      <c r="M1268" s="181">
        <f t="shared" si="348"/>
        <v>6249.9999999999991</v>
      </c>
      <c r="N1268" s="418" t="s">
        <v>25</v>
      </c>
      <c r="Q1268">
        <f>1450+1250</f>
        <v>2700</v>
      </c>
    </row>
    <row r="1269" spans="1:17" ht="15" customHeight="1" x14ac:dyDescent="0.25">
      <c r="A1269" s="183">
        <v>46067</v>
      </c>
      <c r="B1269" s="184" t="s">
        <v>42</v>
      </c>
      <c r="C1269" s="184">
        <v>19.899999999999999</v>
      </c>
      <c r="D1269" s="184">
        <v>9.5399999999999991</v>
      </c>
      <c r="E1269" s="184">
        <f t="shared" si="339"/>
        <v>10.36</v>
      </c>
      <c r="F1269" s="184" t="s">
        <v>23</v>
      </c>
      <c r="G1269" s="184" t="s">
        <v>1158</v>
      </c>
      <c r="H1269" s="139">
        <v>1450</v>
      </c>
      <c r="I1269" s="139">
        <f t="shared" si="346"/>
        <v>15022</v>
      </c>
      <c r="J1269" s="139">
        <v>1500</v>
      </c>
      <c r="K1269" s="139">
        <f t="shared" si="347"/>
        <v>16522</v>
      </c>
      <c r="L1269" s="139">
        <v>22</v>
      </c>
      <c r="M1269" s="139">
        <f t="shared" si="348"/>
        <v>16500</v>
      </c>
      <c r="N1269" s="419" t="s">
        <v>20</v>
      </c>
      <c r="Q1269">
        <v>2</v>
      </c>
    </row>
    <row r="1270" spans="1:17" ht="15" customHeight="1" x14ac:dyDescent="0.25">
      <c r="A1270" s="183">
        <v>46067</v>
      </c>
      <c r="B1270" s="184" t="s">
        <v>1156</v>
      </c>
      <c r="C1270" s="184">
        <v>6.76</v>
      </c>
      <c r="D1270" s="184">
        <v>2.86</v>
      </c>
      <c r="E1270" s="184">
        <f t="shared" si="339"/>
        <v>3.9</v>
      </c>
      <c r="F1270" s="184" t="s">
        <v>35</v>
      </c>
      <c r="G1270" s="184" t="s">
        <v>1159</v>
      </c>
      <c r="H1270" s="139">
        <v>1410</v>
      </c>
      <c r="I1270" s="139">
        <f t="shared" si="346"/>
        <v>5499</v>
      </c>
      <c r="J1270" s="139">
        <v>0</v>
      </c>
      <c r="K1270" s="139">
        <f t="shared" si="347"/>
        <v>5499</v>
      </c>
      <c r="L1270" s="139">
        <v>99</v>
      </c>
      <c r="M1270" s="139">
        <f t="shared" si="348"/>
        <v>5400</v>
      </c>
      <c r="N1270" s="419" t="s">
        <v>20</v>
      </c>
      <c r="Q1270">
        <f>Q1268/Q1269</f>
        <v>1350</v>
      </c>
    </row>
    <row r="1271" spans="1:17" ht="15" customHeight="1" thickBot="1" x14ac:dyDescent="0.3">
      <c r="A1271" s="214">
        <v>46067</v>
      </c>
      <c r="B1271" s="206" t="s">
        <v>92</v>
      </c>
      <c r="C1271" s="206">
        <v>7.17</v>
      </c>
      <c r="D1271" s="206">
        <v>3.15</v>
      </c>
      <c r="E1271" s="206">
        <f t="shared" si="339"/>
        <v>4.0199999999999996</v>
      </c>
      <c r="F1271" s="206" t="s">
        <v>23</v>
      </c>
      <c r="G1271" s="206" t="s">
        <v>188</v>
      </c>
      <c r="H1271" s="146">
        <v>1450</v>
      </c>
      <c r="I1271" s="146">
        <f t="shared" ref="I1271:I1281" si="349">H1271*E1271</f>
        <v>5828.9999999999991</v>
      </c>
      <c r="J1271" s="146">
        <v>0</v>
      </c>
      <c r="K1271" s="146">
        <f t="shared" ref="K1271:K1281" si="350">I1271+J1271</f>
        <v>5828.9999999999991</v>
      </c>
      <c r="L1271" s="146">
        <v>29</v>
      </c>
      <c r="M1271" s="146">
        <f t="shared" ref="M1271:M1281" si="351">K1271-L1271</f>
        <v>5799.9999999999991</v>
      </c>
      <c r="N1271" s="428" t="s">
        <v>20</v>
      </c>
    </row>
    <row r="1272" spans="1:17" ht="15" customHeight="1" x14ac:dyDescent="0.25">
      <c r="A1272" s="179">
        <v>46068</v>
      </c>
      <c r="B1272" s="180" t="s">
        <v>1160</v>
      </c>
      <c r="C1272" s="180">
        <v>18.16</v>
      </c>
      <c r="D1272" s="180">
        <v>14.68</v>
      </c>
      <c r="E1272" s="180">
        <f t="shared" si="339"/>
        <v>3.4800000000000004</v>
      </c>
      <c r="F1272" s="180" t="s">
        <v>23</v>
      </c>
      <c r="G1272" s="180" t="s">
        <v>1161</v>
      </c>
      <c r="H1272" s="181">
        <v>1450</v>
      </c>
      <c r="I1272" s="181">
        <f t="shared" si="349"/>
        <v>5046.0000000000009</v>
      </c>
      <c r="J1272" s="181">
        <v>0</v>
      </c>
      <c r="K1272" s="181">
        <f t="shared" si="350"/>
        <v>5046.0000000000009</v>
      </c>
      <c r="L1272" s="181">
        <v>46</v>
      </c>
      <c r="M1272" s="181">
        <f t="shared" si="351"/>
        <v>5000.0000000000009</v>
      </c>
      <c r="N1272" s="418" t="s">
        <v>25</v>
      </c>
    </row>
    <row r="1273" spans="1:17" ht="15" customHeight="1" thickBot="1" x14ac:dyDescent="0.3">
      <c r="A1273" s="214">
        <v>46068</v>
      </c>
      <c r="B1273" s="206" t="s">
        <v>67</v>
      </c>
      <c r="C1273" s="206">
        <v>20.38</v>
      </c>
      <c r="D1273" s="206">
        <v>9.3800000000000008</v>
      </c>
      <c r="E1273" s="206">
        <f t="shared" si="339"/>
        <v>10.999999999999998</v>
      </c>
      <c r="F1273" s="206" t="s">
        <v>23</v>
      </c>
      <c r="G1273" s="206" t="s">
        <v>1162</v>
      </c>
      <c r="H1273" s="146">
        <v>1400</v>
      </c>
      <c r="I1273" s="146">
        <f t="shared" si="349"/>
        <v>15399.999999999998</v>
      </c>
      <c r="J1273" s="146">
        <v>0</v>
      </c>
      <c r="K1273" s="146">
        <f t="shared" si="350"/>
        <v>15399.999999999998</v>
      </c>
      <c r="L1273" s="146">
        <v>0</v>
      </c>
      <c r="M1273" s="146">
        <f t="shared" si="351"/>
        <v>15399.999999999998</v>
      </c>
      <c r="N1273" s="428" t="s">
        <v>20</v>
      </c>
    </row>
    <row r="1274" spans="1:17" ht="15" customHeight="1" thickBot="1" x14ac:dyDescent="0.3">
      <c r="A1274" s="421">
        <v>46070</v>
      </c>
      <c r="B1274" s="400" t="s">
        <v>1043</v>
      </c>
      <c r="C1274" s="400">
        <v>14.23</v>
      </c>
      <c r="D1274" s="400">
        <v>6.5</v>
      </c>
      <c r="E1274" s="400">
        <f t="shared" si="339"/>
        <v>7.73</v>
      </c>
      <c r="F1274" s="400" t="s">
        <v>18</v>
      </c>
      <c r="G1274" s="400" t="s">
        <v>184</v>
      </c>
      <c r="H1274" s="316">
        <v>1250</v>
      </c>
      <c r="I1274" s="316">
        <f t="shared" si="349"/>
        <v>9662.5</v>
      </c>
      <c r="J1274" s="316">
        <v>0</v>
      </c>
      <c r="K1274" s="316">
        <f t="shared" si="350"/>
        <v>9662.5</v>
      </c>
      <c r="L1274" s="316">
        <v>2.5</v>
      </c>
      <c r="M1274" s="316">
        <f t="shared" si="351"/>
        <v>9660</v>
      </c>
      <c r="N1274" s="422" t="s">
        <v>20</v>
      </c>
    </row>
    <row r="1275" spans="1:17" ht="15" customHeight="1" thickBot="1" x14ac:dyDescent="0.3">
      <c r="A1275" s="368">
        <v>46071</v>
      </c>
      <c r="B1275" s="353" t="s">
        <v>47</v>
      </c>
      <c r="C1275" s="353">
        <v>32.01</v>
      </c>
      <c r="D1275" s="353">
        <v>9.4</v>
      </c>
      <c r="E1275" s="353">
        <f t="shared" si="339"/>
        <v>22.61</v>
      </c>
      <c r="F1275" s="353" t="s">
        <v>29</v>
      </c>
      <c r="G1275" s="353" t="s">
        <v>1041</v>
      </c>
      <c r="H1275" s="356">
        <v>650</v>
      </c>
      <c r="I1275" s="356">
        <f t="shared" si="349"/>
        <v>14696.5</v>
      </c>
      <c r="J1275" s="356">
        <v>0</v>
      </c>
      <c r="K1275" s="356">
        <f t="shared" si="350"/>
        <v>14696.5</v>
      </c>
      <c r="L1275" s="356">
        <v>0</v>
      </c>
      <c r="M1275" s="356">
        <f t="shared" si="351"/>
        <v>14696.5</v>
      </c>
      <c r="N1275" s="423" t="s">
        <v>44</v>
      </c>
    </row>
    <row r="1276" spans="1:17" ht="15" customHeight="1" x14ac:dyDescent="0.25">
      <c r="A1276" s="179">
        <v>46074</v>
      </c>
      <c r="B1276" s="180" t="s">
        <v>1036</v>
      </c>
      <c r="C1276" s="180">
        <v>5.31</v>
      </c>
      <c r="D1276" s="180">
        <v>3.21</v>
      </c>
      <c r="E1276" s="180">
        <f t="shared" si="339"/>
        <v>2.0999999999999996</v>
      </c>
      <c r="F1276" s="180" t="s">
        <v>35</v>
      </c>
      <c r="G1276" s="180" t="s">
        <v>1163</v>
      </c>
      <c r="H1276" s="181">
        <v>1250</v>
      </c>
      <c r="I1276" s="181">
        <f t="shared" si="349"/>
        <v>2624.9999999999995</v>
      </c>
      <c r="J1276" s="181">
        <v>0</v>
      </c>
      <c r="K1276" s="181">
        <f t="shared" si="350"/>
        <v>2624.9999999999995</v>
      </c>
      <c r="L1276" s="181">
        <v>5</v>
      </c>
      <c r="M1276" s="181">
        <f t="shared" si="351"/>
        <v>2619.9999999999995</v>
      </c>
      <c r="N1276" s="418" t="s">
        <v>20</v>
      </c>
    </row>
    <row r="1277" spans="1:17" ht="15" customHeight="1" x14ac:dyDescent="0.25">
      <c r="A1277" s="183">
        <v>46074</v>
      </c>
      <c r="B1277" s="184" t="s">
        <v>1036</v>
      </c>
      <c r="C1277" s="184">
        <v>7.3</v>
      </c>
      <c r="D1277" s="184">
        <v>5.31</v>
      </c>
      <c r="E1277" s="184">
        <f t="shared" si="339"/>
        <v>1.9900000000000002</v>
      </c>
      <c r="F1277" s="184" t="s">
        <v>23</v>
      </c>
      <c r="G1277" s="184" t="s">
        <v>1163</v>
      </c>
      <c r="H1277" s="139">
        <v>1450</v>
      </c>
      <c r="I1277" s="139">
        <f t="shared" si="349"/>
        <v>2885.5000000000005</v>
      </c>
      <c r="J1277" s="139">
        <v>0</v>
      </c>
      <c r="K1277" s="139">
        <f t="shared" si="350"/>
        <v>2885.5000000000005</v>
      </c>
      <c r="L1277" s="139">
        <v>5.5</v>
      </c>
      <c r="M1277" s="139">
        <f t="shared" si="351"/>
        <v>2880.0000000000005</v>
      </c>
      <c r="N1277" s="419" t="s">
        <v>20</v>
      </c>
    </row>
    <row r="1278" spans="1:17" ht="15" customHeight="1" thickBot="1" x14ac:dyDescent="0.3">
      <c r="A1278" s="186">
        <v>46074</v>
      </c>
      <c r="B1278" s="187" t="s">
        <v>1036</v>
      </c>
      <c r="C1278" s="187">
        <v>7.1</v>
      </c>
      <c r="D1278" s="187">
        <v>3.15</v>
      </c>
      <c r="E1278" s="187">
        <f t="shared" si="339"/>
        <v>3.9499999999999997</v>
      </c>
      <c r="F1278" s="187" t="s">
        <v>23</v>
      </c>
      <c r="G1278" s="187" t="s">
        <v>1163</v>
      </c>
      <c r="H1278" s="188">
        <v>1450</v>
      </c>
      <c r="I1278" s="188">
        <f t="shared" si="349"/>
        <v>5727.5</v>
      </c>
      <c r="J1278" s="188">
        <v>0</v>
      </c>
      <c r="K1278" s="188">
        <f t="shared" si="350"/>
        <v>5727.5</v>
      </c>
      <c r="L1278" s="188">
        <v>7.5</v>
      </c>
      <c r="M1278" s="188">
        <f t="shared" si="351"/>
        <v>5720</v>
      </c>
      <c r="N1278" s="420" t="s">
        <v>25</v>
      </c>
    </row>
    <row r="1279" spans="1:17" ht="15" customHeight="1" thickBot="1" x14ac:dyDescent="0.3">
      <c r="A1279" s="368">
        <v>46076</v>
      </c>
      <c r="B1279" s="353" t="s">
        <v>30</v>
      </c>
      <c r="C1279" s="353">
        <v>30.27</v>
      </c>
      <c r="D1279" s="353">
        <v>9.26</v>
      </c>
      <c r="E1279" s="353">
        <f t="shared" si="339"/>
        <v>21.009999999999998</v>
      </c>
      <c r="F1279" s="353" t="s">
        <v>23</v>
      </c>
      <c r="G1279" s="353" t="s">
        <v>1041</v>
      </c>
      <c r="H1279" s="356">
        <v>1400</v>
      </c>
      <c r="I1279" s="356">
        <f t="shared" si="349"/>
        <v>29413.999999999996</v>
      </c>
      <c r="J1279" s="356">
        <v>0</v>
      </c>
      <c r="K1279" s="356">
        <f t="shared" si="350"/>
        <v>29413.999999999996</v>
      </c>
      <c r="L1279" s="356">
        <v>0</v>
      </c>
      <c r="M1279" s="356">
        <f t="shared" si="351"/>
        <v>29413.999999999996</v>
      </c>
      <c r="N1279" s="423" t="s">
        <v>44</v>
      </c>
    </row>
    <row r="1280" spans="1:17" ht="15" customHeight="1" x14ac:dyDescent="0.25">
      <c r="A1280" s="179">
        <v>46077</v>
      </c>
      <c r="B1280" s="180" t="s">
        <v>30</v>
      </c>
      <c r="C1280" s="180">
        <v>28.24</v>
      </c>
      <c r="D1280" s="180">
        <v>9.36</v>
      </c>
      <c r="E1280" s="180">
        <f t="shared" si="339"/>
        <v>18.88</v>
      </c>
      <c r="F1280" s="180" t="s">
        <v>26</v>
      </c>
      <c r="G1280" s="180" t="s">
        <v>57</v>
      </c>
      <c r="H1280" s="181">
        <v>1365</v>
      </c>
      <c r="I1280" s="181">
        <f t="shared" si="349"/>
        <v>25771.199999999997</v>
      </c>
      <c r="J1280" s="181">
        <v>0</v>
      </c>
      <c r="K1280" s="181">
        <f t="shared" si="350"/>
        <v>25771.199999999997</v>
      </c>
      <c r="L1280" s="181">
        <v>0</v>
      </c>
      <c r="M1280" s="181">
        <f t="shared" si="351"/>
        <v>25771.199999999997</v>
      </c>
      <c r="N1280" s="334" t="s">
        <v>44</v>
      </c>
    </row>
    <row r="1281" spans="1:14" ht="15" customHeight="1" x14ac:dyDescent="0.25">
      <c r="A1281" s="183">
        <v>46077</v>
      </c>
      <c r="B1281" s="184" t="s">
        <v>67</v>
      </c>
      <c r="C1281" s="184">
        <v>36.270000000000003</v>
      </c>
      <c r="D1281" s="184">
        <v>9.5299999999999994</v>
      </c>
      <c r="E1281" s="184">
        <f t="shared" si="339"/>
        <v>26.740000000000002</v>
      </c>
      <c r="F1281" s="184" t="s">
        <v>38</v>
      </c>
      <c r="G1281" s="184" t="s">
        <v>745</v>
      </c>
      <c r="H1281" s="139">
        <v>500</v>
      </c>
      <c r="I1281" s="139">
        <f t="shared" si="349"/>
        <v>13370.000000000002</v>
      </c>
      <c r="J1281" s="139">
        <v>1500</v>
      </c>
      <c r="K1281" s="139">
        <f t="shared" si="350"/>
        <v>14870.000000000002</v>
      </c>
      <c r="L1281" s="139">
        <v>0</v>
      </c>
      <c r="M1281" s="139">
        <f t="shared" si="351"/>
        <v>14870.000000000002</v>
      </c>
      <c r="N1281" s="419" t="s">
        <v>20</v>
      </c>
    </row>
    <row r="1282" spans="1:14" ht="15" customHeight="1" x14ac:dyDescent="0.25">
      <c r="A1282" s="183">
        <v>46077</v>
      </c>
      <c r="B1282" s="184" t="s">
        <v>51</v>
      </c>
      <c r="C1282" s="184">
        <v>29.93</v>
      </c>
      <c r="D1282" s="184">
        <v>9.19</v>
      </c>
      <c r="E1282" s="184">
        <f t="shared" si="339"/>
        <v>20.740000000000002</v>
      </c>
      <c r="F1282" s="184" t="s">
        <v>26</v>
      </c>
      <c r="G1282" s="184" t="s">
        <v>57</v>
      </c>
      <c r="H1282" s="139">
        <v>1365</v>
      </c>
      <c r="I1282" s="139">
        <f t="shared" ref="I1282:I1285" si="352">H1282*E1282</f>
        <v>28310.100000000002</v>
      </c>
      <c r="J1282" s="139">
        <v>0</v>
      </c>
      <c r="K1282" s="139">
        <f t="shared" ref="K1282:K1285" si="353">I1282+J1282</f>
        <v>28310.100000000002</v>
      </c>
      <c r="L1282" s="139">
        <v>0</v>
      </c>
      <c r="M1282" s="139">
        <f t="shared" ref="M1282:M1285" si="354">K1282-L1282</f>
        <v>28310.100000000002</v>
      </c>
      <c r="N1282" s="331" t="s">
        <v>44</v>
      </c>
    </row>
    <row r="1283" spans="1:14" ht="15" customHeight="1" x14ac:dyDescent="0.25">
      <c r="A1283" s="183">
        <v>46077</v>
      </c>
      <c r="B1283" s="184" t="s">
        <v>88</v>
      </c>
      <c r="C1283" s="184">
        <v>29.83</v>
      </c>
      <c r="D1283" s="184">
        <v>9.89</v>
      </c>
      <c r="E1283" s="184">
        <f t="shared" si="339"/>
        <v>19.939999999999998</v>
      </c>
      <c r="F1283" s="184" t="s">
        <v>35</v>
      </c>
      <c r="G1283" s="184" t="s">
        <v>1164</v>
      </c>
      <c r="H1283" s="139">
        <v>1250</v>
      </c>
      <c r="I1283" s="139">
        <f t="shared" si="352"/>
        <v>24924.999999999996</v>
      </c>
      <c r="J1283" s="139">
        <v>2000</v>
      </c>
      <c r="K1283" s="139">
        <f t="shared" si="353"/>
        <v>26924.999999999996</v>
      </c>
      <c r="L1283" s="139">
        <v>0</v>
      </c>
      <c r="M1283" s="139">
        <f t="shared" si="354"/>
        <v>26924.999999999996</v>
      </c>
      <c r="N1283" s="419" t="s">
        <v>25</v>
      </c>
    </row>
    <row r="1284" spans="1:14" ht="15" customHeight="1" x14ac:dyDescent="0.25">
      <c r="A1284" s="183">
        <v>46077</v>
      </c>
      <c r="B1284" s="184" t="s">
        <v>67</v>
      </c>
      <c r="C1284" s="184">
        <v>28.89</v>
      </c>
      <c r="D1284" s="184">
        <v>9.51</v>
      </c>
      <c r="E1284" s="184">
        <f t="shared" si="339"/>
        <v>19.380000000000003</v>
      </c>
      <c r="F1284" s="184" t="s">
        <v>23</v>
      </c>
      <c r="G1284" s="184" t="s">
        <v>1164</v>
      </c>
      <c r="H1284" s="139">
        <v>1450</v>
      </c>
      <c r="I1284" s="139">
        <f t="shared" si="352"/>
        <v>28101.000000000004</v>
      </c>
      <c r="J1284" s="139">
        <v>2000</v>
      </c>
      <c r="K1284" s="139">
        <f t="shared" si="353"/>
        <v>30101.000000000004</v>
      </c>
      <c r="L1284" s="139">
        <v>0</v>
      </c>
      <c r="M1284" s="139">
        <f t="shared" si="354"/>
        <v>30101.000000000004</v>
      </c>
      <c r="N1284" s="419" t="s">
        <v>25</v>
      </c>
    </row>
    <row r="1285" spans="1:14" ht="15" customHeight="1" x14ac:dyDescent="0.25">
      <c r="A1285" s="183">
        <v>46077</v>
      </c>
      <c r="B1285" s="184" t="s">
        <v>88</v>
      </c>
      <c r="C1285" s="184">
        <v>29.64</v>
      </c>
      <c r="D1285" s="184">
        <v>9.58</v>
      </c>
      <c r="E1285" s="184">
        <f t="shared" si="339"/>
        <v>20.060000000000002</v>
      </c>
      <c r="F1285" s="184" t="s">
        <v>23</v>
      </c>
      <c r="G1285" s="184" t="s">
        <v>901</v>
      </c>
      <c r="H1285" s="139">
        <v>1400</v>
      </c>
      <c r="I1285" s="139">
        <f t="shared" si="352"/>
        <v>28084.000000000004</v>
      </c>
      <c r="J1285" s="139">
        <v>0</v>
      </c>
      <c r="K1285" s="139">
        <f t="shared" si="353"/>
        <v>28084.000000000004</v>
      </c>
      <c r="L1285" s="139">
        <v>0</v>
      </c>
      <c r="M1285" s="139">
        <f t="shared" si="354"/>
        <v>28084.000000000004</v>
      </c>
      <c r="N1285" s="419" t="s">
        <v>20</v>
      </c>
    </row>
    <row r="1286" spans="1:14" ht="15" customHeight="1" x14ac:dyDescent="0.25">
      <c r="A1286" s="183">
        <v>46077</v>
      </c>
      <c r="B1286" s="184" t="s">
        <v>30</v>
      </c>
      <c r="C1286" s="184">
        <v>31.74</v>
      </c>
      <c r="D1286" s="184">
        <v>9.2100000000000009</v>
      </c>
      <c r="E1286" s="184">
        <f t="shared" si="339"/>
        <v>22.529999999999998</v>
      </c>
      <c r="F1286" s="184" t="s">
        <v>26</v>
      </c>
      <c r="G1286" s="184" t="s">
        <v>57</v>
      </c>
      <c r="H1286" s="139">
        <v>1365</v>
      </c>
      <c r="I1286" s="139">
        <f t="shared" ref="I1286:I1288" si="355">H1286*E1286</f>
        <v>30753.449999999997</v>
      </c>
      <c r="J1286" s="139">
        <v>0</v>
      </c>
      <c r="K1286" s="139">
        <f t="shared" ref="K1286:K1288" si="356">I1286+J1286</f>
        <v>30753.449999999997</v>
      </c>
      <c r="L1286" s="139">
        <v>0</v>
      </c>
      <c r="M1286" s="139">
        <f t="shared" ref="M1286:M1288" si="357">K1286-L1286</f>
        <v>30753.449999999997</v>
      </c>
      <c r="N1286" s="331" t="s">
        <v>44</v>
      </c>
    </row>
    <row r="1287" spans="1:14" ht="15" customHeight="1" thickBot="1" x14ac:dyDescent="0.3">
      <c r="A1287" s="186">
        <v>46077</v>
      </c>
      <c r="B1287" s="187" t="s">
        <v>51</v>
      </c>
      <c r="C1287" s="187">
        <v>27.91</v>
      </c>
      <c r="D1287" s="187">
        <v>9.2899999999999991</v>
      </c>
      <c r="E1287" s="187">
        <f t="shared" si="339"/>
        <v>18.62</v>
      </c>
      <c r="F1287" s="187" t="s">
        <v>26</v>
      </c>
      <c r="G1287" s="187" t="s">
        <v>57</v>
      </c>
      <c r="H1287" s="188">
        <v>1365</v>
      </c>
      <c r="I1287" s="188">
        <f t="shared" si="355"/>
        <v>25416.300000000003</v>
      </c>
      <c r="J1287" s="188">
        <v>0</v>
      </c>
      <c r="K1287" s="188">
        <f t="shared" si="356"/>
        <v>25416.300000000003</v>
      </c>
      <c r="L1287" s="188">
        <v>0</v>
      </c>
      <c r="M1287" s="188">
        <f t="shared" si="357"/>
        <v>25416.300000000003</v>
      </c>
      <c r="N1287" s="397" t="s">
        <v>44</v>
      </c>
    </row>
    <row r="1288" spans="1:14" ht="15" customHeight="1" x14ac:dyDescent="0.25">
      <c r="A1288" s="179">
        <v>46078</v>
      </c>
      <c r="B1288" s="180" t="s">
        <v>51</v>
      </c>
      <c r="C1288" s="180">
        <v>32.479999999999997</v>
      </c>
      <c r="D1288" s="180">
        <v>9.3000000000000007</v>
      </c>
      <c r="E1288" s="180">
        <f t="shared" ref="E1288:E1293" si="358">C1288-D1288</f>
        <v>23.179999999999996</v>
      </c>
      <c r="F1288" s="180" t="s">
        <v>26</v>
      </c>
      <c r="G1288" s="180" t="s">
        <v>57</v>
      </c>
      <c r="H1288" s="181">
        <v>1365</v>
      </c>
      <c r="I1288" s="181">
        <f t="shared" si="355"/>
        <v>31640.699999999993</v>
      </c>
      <c r="J1288" s="181">
        <v>0</v>
      </c>
      <c r="K1288" s="181">
        <f t="shared" si="356"/>
        <v>31640.699999999993</v>
      </c>
      <c r="L1288" s="181">
        <v>0</v>
      </c>
      <c r="M1288" s="181">
        <f t="shared" si="357"/>
        <v>31640.699999999993</v>
      </c>
      <c r="N1288" s="334" t="s">
        <v>44</v>
      </c>
    </row>
    <row r="1289" spans="1:14" ht="15" customHeight="1" thickBot="1" x14ac:dyDescent="0.3">
      <c r="A1289" s="425">
        <v>46078</v>
      </c>
      <c r="B1289" s="197" t="s">
        <v>42</v>
      </c>
      <c r="C1289" s="197">
        <v>32.770000000000003</v>
      </c>
      <c r="D1289" s="197">
        <v>9.86</v>
      </c>
      <c r="E1289" s="197">
        <f t="shared" si="358"/>
        <v>22.910000000000004</v>
      </c>
      <c r="F1289" s="206" t="s">
        <v>26</v>
      </c>
      <c r="G1289" s="206" t="s">
        <v>57</v>
      </c>
      <c r="H1289" s="146">
        <v>1365</v>
      </c>
      <c r="I1289" s="146">
        <f t="shared" ref="I1289:I1293" si="359">H1289*E1289</f>
        <v>31272.150000000005</v>
      </c>
      <c r="J1289" s="146">
        <v>0</v>
      </c>
      <c r="K1289" s="146">
        <f t="shared" ref="K1289:K1293" si="360">I1289+J1289</f>
        <v>31272.150000000005</v>
      </c>
      <c r="L1289" s="146">
        <v>0</v>
      </c>
      <c r="M1289" s="146">
        <f t="shared" ref="M1289:M1293" si="361">K1289-L1289</f>
        <v>31272.150000000005</v>
      </c>
      <c r="N1289" s="352" t="s">
        <v>44</v>
      </c>
    </row>
    <row r="1290" spans="1:14" ht="15" customHeight="1" x14ac:dyDescent="0.25">
      <c r="A1290" s="179">
        <v>46079</v>
      </c>
      <c r="B1290" s="180" t="s">
        <v>42</v>
      </c>
      <c r="C1290" s="180">
        <v>20.04</v>
      </c>
      <c r="D1290" s="180">
        <v>9.6999999999999993</v>
      </c>
      <c r="E1290" s="180">
        <f t="shared" si="358"/>
        <v>10.34</v>
      </c>
      <c r="F1290" s="180" t="s">
        <v>23</v>
      </c>
      <c r="G1290" s="180" t="s">
        <v>167</v>
      </c>
      <c r="H1290" s="181">
        <v>1400</v>
      </c>
      <c r="I1290" s="181">
        <f t="shared" si="359"/>
        <v>14476</v>
      </c>
      <c r="J1290" s="181">
        <v>700</v>
      </c>
      <c r="K1290" s="181">
        <f t="shared" si="360"/>
        <v>15176</v>
      </c>
      <c r="L1290" s="181">
        <v>0</v>
      </c>
      <c r="M1290" s="181">
        <f t="shared" si="361"/>
        <v>15176</v>
      </c>
      <c r="N1290" s="418" t="s">
        <v>20</v>
      </c>
    </row>
    <row r="1291" spans="1:14" ht="15" customHeight="1" x14ac:dyDescent="0.25">
      <c r="A1291" s="183">
        <v>46079</v>
      </c>
      <c r="B1291" s="184" t="s">
        <v>67</v>
      </c>
      <c r="C1291" s="184">
        <v>30.82</v>
      </c>
      <c r="D1291" s="184">
        <v>9.4</v>
      </c>
      <c r="E1291" s="184">
        <f t="shared" si="358"/>
        <v>21.42</v>
      </c>
      <c r="F1291" s="184" t="s">
        <v>23</v>
      </c>
      <c r="G1291" s="184" t="s">
        <v>1165</v>
      </c>
      <c r="H1291" s="139">
        <v>1400</v>
      </c>
      <c r="I1291" s="139">
        <f t="shared" si="359"/>
        <v>29988.000000000004</v>
      </c>
      <c r="J1291" s="139">
        <v>2500</v>
      </c>
      <c r="K1291" s="139">
        <f t="shared" si="360"/>
        <v>32488.000000000004</v>
      </c>
      <c r="L1291" s="139">
        <v>88</v>
      </c>
      <c r="M1291" s="139">
        <f t="shared" si="361"/>
        <v>32400.000000000004</v>
      </c>
      <c r="N1291" s="419" t="s">
        <v>20</v>
      </c>
    </row>
    <row r="1292" spans="1:14" ht="15" customHeight="1" thickBot="1" x14ac:dyDescent="0.3">
      <c r="A1292" s="186">
        <v>46079</v>
      </c>
      <c r="B1292" s="187" t="s">
        <v>1043</v>
      </c>
      <c r="C1292" s="187">
        <v>13.82</v>
      </c>
      <c r="D1292" s="187">
        <v>6.21</v>
      </c>
      <c r="E1292" s="187">
        <f t="shared" si="358"/>
        <v>7.61</v>
      </c>
      <c r="F1292" s="187" t="s">
        <v>18</v>
      </c>
      <c r="G1292" s="187" t="s">
        <v>184</v>
      </c>
      <c r="H1292" s="188">
        <v>1200</v>
      </c>
      <c r="I1292" s="188">
        <f t="shared" si="359"/>
        <v>9132</v>
      </c>
      <c r="J1292" s="188">
        <v>0</v>
      </c>
      <c r="K1292" s="188">
        <f t="shared" si="360"/>
        <v>9132</v>
      </c>
      <c r="L1292" s="188">
        <v>32</v>
      </c>
      <c r="M1292" s="188">
        <f t="shared" si="361"/>
        <v>9100</v>
      </c>
      <c r="N1292" s="420" t="s">
        <v>20</v>
      </c>
    </row>
    <row r="1293" spans="1:14" ht="15" customHeight="1" thickBot="1" x14ac:dyDescent="0.3">
      <c r="A1293" s="399">
        <v>46080</v>
      </c>
      <c r="B1293" s="400" t="s">
        <v>42</v>
      </c>
      <c r="C1293" s="353">
        <v>19.54</v>
      </c>
      <c r="D1293" s="353">
        <v>9.32</v>
      </c>
      <c r="E1293" s="353">
        <f t="shared" si="358"/>
        <v>10.219999999999999</v>
      </c>
      <c r="F1293" s="400" t="s">
        <v>23</v>
      </c>
      <c r="G1293" s="400" t="s">
        <v>744</v>
      </c>
      <c r="H1293" s="316">
        <v>1400</v>
      </c>
      <c r="I1293" s="356">
        <f t="shared" si="359"/>
        <v>14307.999999999998</v>
      </c>
      <c r="J1293" s="356">
        <v>2000</v>
      </c>
      <c r="K1293" s="356">
        <f t="shared" si="360"/>
        <v>16307.999999999998</v>
      </c>
      <c r="L1293" s="356">
        <v>8</v>
      </c>
      <c r="M1293" s="356">
        <f t="shared" si="361"/>
        <v>16299.999999999998</v>
      </c>
      <c r="N1293" s="422" t="s">
        <v>20</v>
      </c>
    </row>
    <row r="1294" spans="1:14" ht="15" customHeight="1" thickBot="1" x14ac:dyDescent="0.3">
      <c r="C1294" s="429">
        <f>SUM(C1245:C1293)</f>
        <v>1175.0299999999995</v>
      </c>
      <c r="D1294" s="400">
        <f t="shared" ref="D1294:E1294" si="362">SUM(D1245:D1293)</f>
        <v>408.64999999999986</v>
      </c>
      <c r="E1294" s="430">
        <f t="shared" si="362"/>
        <v>766.38000000000011</v>
      </c>
      <c r="I1294" s="432">
        <f>SUM(I1245:I1293)</f>
        <v>1017170.7499999999</v>
      </c>
      <c r="J1294" s="316">
        <f t="shared" ref="J1294:M1294" si="363">SUM(J1245:J1293)</f>
        <v>13200</v>
      </c>
      <c r="K1294" s="316">
        <f t="shared" si="363"/>
        <v>1030370.7499999999</v>
      </c>
      <c r="L1294" s="316">
        <f t="shared" si="363"/>
        <v>436</v>
      </c>
      <c r="M1294" s="433">
        <f t="shared" si="363"/>
        <v>1029934.7499999999</v>
      </c>
      <c r="N1294" s="431"/>
    </row>
  </sheetData>
  <mergeCells count="96">
    <mergeCell ref="A1176:N1176"/>
    <mergeCell ref="A1014:B1014"/>
    <mergeCell ref="A737:N737"/>
    <mergeCell ref="A828:B828"/>
    <mergeCell ref="A831:N831"/>
    <mergeCell ref="A914:B914"/>
    <mergeCell ref="A917:N917"/>
    <mergeCell ref="A1017:N1017"/>
    <mergeCell ref="A661:N661"/>
    <mergeCell ref="A735:B735"/>
    <mergeCell ref="A140:A156"/>
    <mergeCell ref="A157:A175"/>
    <mergeCell ref="A176:A191"/>
    <mergeCell ref="A192:A203"/>
    <mergeCell ref="A379:A383"/>
    <mergeCell ref="A337:A350"/>
    <mergeCell ref="A351:A359"/>
    <mergeCell ref="A360:A375"/>
    <mergeCell ref="A376:A378"/>
    <mergeCell ref="A289:A290"/>
    <mergeCell ref="A291:A304"/>
    <mergeCell ref="A305:A316"/>
    <mergeCell ref="A317:A320"/>
    <mergeCell ref="A321:A336"/>
    <mergeCell ref="A204:A215"/>
    <mergeCell ref="A216:A235"/>
    <mergeCell ref="A114:A115"/>
    <mergeCell ref="A116:A119"/>
    <mergeCell ref="A120:A122"/>
    <mergeCell ref="A123:A129"/>
    <mergeCell ref="A130:A139"/>
    <mergeCell ref="A89:A91"/>
    <mergeCell ref="A92:A94"/>
    <mergeCell ref="A95:A96"/>
    <mergeCell ref="A97:A104"/>
    <mergeCell ref="A105:A113"/>
    <mergeCell ref="A87:N87"/>
    <mergeCell ref="A30:A37"/>
    <mergeCell ref="A38:A44"/>
    <mergeCell ref="A45:A49"/>
    <mergeCell ref="A50:A55"/>
    <mergeCell ref="A56:A57"/>
    <mergeCell ref="A58:A61"/>
    <mergeCell ref="A62:A65"/>
    <mergeCell ref="A641:A646"/>
    <mergeCell ref="A648:A649"/>
    <mergeCell ref="A650:A651"/>
    <mergeCell ref="A654:A655"/>
    <mergeCell ref="A1:N1"/>
    <mergeCell ref="A7:A8"/>
    <mergeCell ref="A10:A13"/>
    <mergeCell ref="A15:A17"/>
    <mergeCell ref="A18:A19"/>
    <mergeCell ref="A20:A26"/>
    <mergeCell ref="A27:A29"/>
    <mergeCell ref="A66:A67"/>
    <mergeCell ref="A68:A71"/>
    <mergeCell ref="A73:A77"/>
    <mergeCell ref="A78:A83"/>
    <mergeCell ref="A84:B84"/>
    <mergeCell ref="A236:A248"/>
    <mergeCell ref="A249:A271"/>
    <mergeCell ref="A272:A288"/>
    <mergeCell ref="A429:A447"/>
    <mergeCell ref="A384:A388"/>
    <mergeCell ref="A389:B389"/>
    <mergeCell ref="A394:N394"/>
    <mergeCell ref="A396:A409"/>
    <mergeCell ref="A410:A428"/>
    <mergeCell ref="A513:A515"/>
    <mergeCell ref="A448:A467"/>
    <mergeCell ref="A468:A483"/>
    <mergeCell ref="A484:A497"/>
    <mergeCell ref="A498:A510"/>
    <mergeCell ref="A511:A512"/>
    <mergeCell ref="A516:A521"/>
    <mergeCell ref="A522:A528"/>
    <mergeCell ref="A529:A535"/>
    <mergeCell ref="A536:A541"/>
    <mergeCell ref="A542:A553"/>
    <mergeCell ref="A1243:N1243"/>
    <mergeCell ref="A554:A569"/>
    <mergeCell ref="A570:A577"/>
    <mergeCell ref="A578:A587"/>
    <mergeCell ref="A588:A594"/>
    <mergeCell ref="A595:A601"/>
    <mergeCell ref="A602:A613"/>
    <mergeCell ref="A615:A620"/>
    <mergeCell ref="A621:B621"/>
    <mergeCell ref="A626:A630"/>
    <mergeCell ref="A624:N624"/>
    <mergeCell ref="A657:A658"/>
    <mergeCell ref="A659:B659"/>
    <mergeCell ref="A634:A635"/>
    <mergeCell ref="A636:A637"/>
    <mergeCell ref="A638:A639"/>
  </mergeCells>
  <pageMargins left="0.7" right="0.7" top="0.75" bottom="0.75" header="0.3" footer="0.3"/>
  <pageSetup paperSize="9" scale="59" fitToHeight="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4"/>
  <sheetViews>
    <sheetView topLeftCell="A75" workbookViewId="0">
      <selection activeCell="G82" sqref="G82"/>
    </sheetView>
  </sheetViews>
  <sheetFormatPr defaultRowHeight="15" x14ac:dyDescent="0.25"/>
  <cols>
    <col min="1" max="1" width="10.42578125" bestFit="1" customWidth="1"/>
    <col min="2" max="2" width="12.28515625" bestFit="1" customWidth="1"/>
    <col min="3" max="3" width="8" bestFit="1" customWidth="1"/>
    <col min="4" max="4" width="15.7109375" bestFit="1" customWidth="1"/>
  </cols>
  <sheetData>
    <row r="1" spans="1:4" ht="15.75" thickBot="1" x14ac:dyDescent="0.3">
      <c r="A1" s="478" t="s">
        <v>599</v>
      </c>
      <c r="B1" s="479"/>
      <c r="C1" s="479"/>
      <c r="D1" s="480"/>
    </row>
    <row r="2" spans="1:4" ht="15.75" thickBot="1" x14ac:dyDescent="0.3">
      <c r="A2" s="203" t="s">
        <v>1</v>
      </c>
      <c r="B2" s="204" t="s">
        <v>2</v>
      </c>
      <c r="C2" s="204" t="s">
        <v>5</v>
      </c>
      <c r="D2" s="205" t="s">
        <v>600</v>
      </c>
    </row>
    <row r="3" spans="1:4" x14ac:dyDescent="0.25">
      <c r="A3" s="208">
        <v>45903</v>
      </c>
      <c r="B3" s="196" t="s">
        <v>88</v>
      </c>
      <c r="C3" s="196">
        <v>22.03</v>
      </c>
      <c r="D3" s="199">
        <v>608</v>
      </c>
    </row>
    <row r="4" spans="1:4" x14ac:dyDescent="0.25">
      <c r="A4" s="183">
        <v>45903</v>
      </c>
      <c r="B4" s="184" t="s">
        <v>49</v>
      </c>
      <c r="C4" s="184">
        <v>20.420000000000002</v>
      </c>
      <c r="D4" s="185">
        <v>609</v>
      </c>
    </row>
    <row r="5" spans="1:4" x14ac:dyDescent="0.25">
      <c r="A5" s="183">
        <v>45904</v>
      </c>
      <c r="B5" s="184" t="s">
        <v>577</v>
      </c>
      <c r="C5" s="184">
        <v>21.08</v>
      </c>
      <c r="D5" s="185">
        <v>610</v>
      </c>
    </row>
    <row r="6" spans="1:4" x14ac:dyDescent="0.25">
      <c r="A6" s="163">
        <v>45916</v>
      </c>
      <c r="B6" s="184" t="s">
        <v>58</v>
      </c>
      <c r="C6" s="184">
        <v>21.71</v>
      </c>
      <c r="D6" s="185">
        <v>611</v>
      </c>
    </row>
    <row r="7" spans="1:4" x14ac:dyDescent="0.25">
      <c r="A7" s="163">
        <v>45916</v>
      </c>
      <c r="B7" s="184" t="s">
        <v>51</v>
      </c>
      <c r="C7" s="184">
        <v>22.57</v>
      </c>
      <c r="D7" s="185">
        <v>614</v>
      </c>
    </row>
    <row r="8" spans="1:4" x14ac:dyDescent="0.25">
      <c r="A8" s="163">
        <v>45916</v>
      </c>
      <c r="B8" s="184" t="s">
        <v>49</v>
      </c>
      <c r="C8" s="184">
        <v>22.55</v>
      </c>
      <c r="D8" s="185">
        <v>613</v>
      </c>
    </row>
    <row r="9" spans="1:4" x14ac:dyDescent="0.25">
      <c r="A9" s="163">
        <v>45916</v>
      </c>
      <c r="B9" s="184" t="s">
        <v>577</v>
      </c>
      <c r="C9" s="184">
        <v>24.61</v>
      </c>
      <c r="D9" s="185">
        <v>612</v>
      </c>
    </row>
    <row r="10" spans="1:4" ht="15.75" thickBot="1" x14ac:dyDescent="0.3">
      <c r="A10" s="209">
        <v>45916</v>
      </c>
      <c r="B10" s="187" t="s">
        <v>67</v>
      </c>
      <c r="C10" s="187">
        <v>23.58</v>
      </c>
      <c r="D10" s="189">
        <v>615</v>
      </c>
    </row>
    <row r="11" spans="1:4" ht="15.75" thickBot="1" x14ac:dyDescent="0.3">
      <c r="A11" s="170"/>
      <c r="B11" s="207"/>
      <c r="C11" s="201">
        <f>SUM(C3:C10)</f>
        <v>178.55</v>
      </c>
      <c r="D11" s="173"/>
    </row>
    <row r="12" spans="1:4" ht="15.75" thickBot="1" x14ac:dyDescent="0.3"/>
    <row r="13" spans="1:4" ht="15.75" thickBot="1" x14ac:dyDescent="0.3">
      <c r="A13" s="478" t="s">
        <v>707</v>
      </c>
      <c r="B13" s="479"/>
      <c r="C13" s="479"/>
      <c r="D13" s="480"/>
    </row>
    <row r="14" spans="1:4" ht="15.75" thickBot="1" x14ac:dyDescent="0.3">
      <c r="A14" s="203" t="s">
        <v>1</v>
      </c>
      <c r="B14" s="204" t="s">
        <v>2</v>
      </c>
      <c r="C14" s="204" t="s">
        <v>5</v>
      </c>
      <c r="D14" s="205" t="s">
        <v>600</v>
      </c>
    </row>
    <row r="15" spans="1:4" x14ac:dyDescent="0.25">
      <c r="A15" s="208">
        <v>45941</v>
      </c>
      <c r="B15" s="273" t="s">
        <v>88</v>
      </c>
      <c r="C15" s="196">
        <v>22.71</v>
      </c>
      <c r="D15" s="199">
        <v>616</v>
      </c>
    </row>
    <row r="16" spans="1:4" x14ac:dyDescent="0.25">
      <c r="A16" s="208">
        <v>45941</v>
      </c>
      <c r="B16" s="271" t="s">
        <v>51</v>
      </c>
      <c r="C16" s="184">
        <v>21.9</v>
      </c>
      <c r="D16" s="185">
        <v>617</v>
      </c>
    </row>
    <row r="17" spans="1:4" x14ac:dyDescent="0.25">
      <c r="A17" s="208">
        <v>45941</v>
      </c>
      <c r="B17" s="271" t="s">
        <v>49</v>
      </c>
      <c r="C17" s="184">
        <v>23.14</v>
      </c>
      <c r="D17" s="185">
        <v>618</v>
      </c>
    </row>
    <row r="18" spans="1:4" x14ac:dyDescent="0.25">
      <c r="A18" s="163">
        <v>45943</v>
      </c>
      <c r="B18" s="271" t="s">
        <v>49</v>
      </c>
      <c r="C18" s="184">
        <v>23.89</v>
      </c>
      <c r="D18" s="185">
        <v>622</v>
      </c>
    </row>
    <row r="19" spans="1:4" x14ac:dyDescent="0.25">
      <c r="A19" s="163">
        <v>45943</v>
      </c>
      <c r="B19" s="271" t="s">
        <v>51</v>
      </c>
      <c r="C19" s="184">
        <v>21.78</v>
      </c>
      <c r="D19" s="185">
        <v>621</v>
      </c>
    </row>
    <row r="20" spans="1:4" x14ac:dyDescent="0.25">
      <c r="A20" s="163">
        <v>45943</v>
      </c>
      <c r="B20" s="271" t="s">
        <v>88</v>
      </c>
      <c r="C20" s="184">
        <v>21.94</v>
      </c>
      <c r="D20" s="185">
        <v>620</v>
      </c>
    </row>
    <row r="21" spans="1:4" ht="15.75" thickBot="1" x14ac:dyDescent="0.3">
      <c r="A21" s="163">
        <v>45943</v>
      </c>
      <c r="B21" s="271" t="s">
        <v>67</v>
      </c>
      <c r="C21" s="184">
        <v>23.06</v>
      </c>
      <c r="D21" s="185">
        <v>619</v>
      </c>
    </row>
    <row r="22" spans="1:4" ht="15.75" thickBot="1" x14ac:dyDescent="0.3">
      <c r="A22" s="170"/>
      <c r="B22" s="207"/>
      <c r="C22" s="201">
        <f>SUM(C15:C21)</f>
        <v>158.42000000000002</v>
      </c>
      <c r="D22" s="173"/>
    </row>
    <row r="23" spans="1:4" ht="15.75" thickBot="1" x14ac:dyDescent="0.3"/>
    <row r="24" spans="1:4" ht="15.75" thickBot="1" x14ac:dyDescent="0.3">
      <c r="A24" s="478" t="s">
        <v>732</v>
      </c>
      <c r="B24" s="479"/>
      <c r="C24" s="479"/>
      <c r="D24" s="480"/>
    </row>
    <row r="25" spans="1:4" ht="15.75" thickBot="1" x14ac:dyDescent="0.3">
      <c r="A25" s="285" t="s">
        <v>1</v>
      </c>
      <c r="B25" s="286" t="s">
        <v>2</v>
      </c>
      <c r="C25" s="286" t="s">
        <v>5</v>
      </c>
      <c r="D25" s="287" t="s">
        <v>600</v>
      </c>
    </row>
    <row r="26" spans="1:4" x14ac:dyDescent="0.25">
      <c r="A26" s="179">
        <v>45966</v>
      </c>
      <c r="B26" s="288" t="s">
        <v>88</v>
      </c>
      <c r="C26" s="180">
        <v>29.23</v>
      </c>
      <c r="D26" s="182">
        <v>623</v>
      </c>
    </row>
    <row r="27" spans="1:4" x14ac:dyDescent="0.25">
      <c r="A27" s="183">
        <v>45966</v>
      </c>
      <c r="B27" s="271" t="s">
        <v>49</v>
      </c>
      <c r="C27" s="184">
        <v>27.77</v>
      </c>
      <c r="D27" s="185">
        <v>624</v>
      </c>
    </row>
    <row r="28" spans="1:4" x14ac:dyDescent="0.25">
      <c r="A28" s="183">
        <v>45966</v>
      </c>
      <c r="B28" s="271" t="s">
        <v>51</v>
      </c>
      <c r="C28" s="184">
        <v>26.4</v>
      </c>
      <c r="D28" s="185">
        <v>625</v>
      </c>
    </row>
    <row r="29" spans="1:4" x14ac:dyDescent="0.25">
      <c r="A29" s="183">
        <v>45966</v>
      </c>
      <c r="B29" s="282" t="s">
        <v>22</v>
      </c>
      <c r="C29" s="184">
        <v>27.58</v>
      </c>
      <c r="D29" s="185">
        <v>626</v>
      </c>
    </row>
    <row r="30" spans="1:4" ht="15.75" thickBot="1" x14ac:dyDescent="0.3">
      <c r="A30" s="214">
        <v>45966</v>
      </c>
      <c r="B30" s="290" t="s">
        <v>67</v>
      </c>
      <c r="C30" s="206">
        <v>26.48</v>
      </c>
      <c r="D30" s="291">
        <v>627</v>
      </c>
    </row>
    <row r="31" spans="1:4" x14ac:dyDescent="0.25">
      <c r="A31" s="159">
        <v>45970</v>
      </c>
      <c r="B31" s="292" t="s">
        <v>22</v>
      </c>
      <c r="C31" s="180">
        <v>21.89</v>
      </c>
      <c r="D31" s="182">
        <v>628</v>
      </c>
    </row>
    <row r="32" spans="1:4" x14ac:dyDescent="0.25">
      <c r="A32" s="163">
        <v>45970</v>
      </c>
      <c r="B32" s="282" t="s">
        <v>67</v>
      </c>
      <c r="C32" s="184">
        <v>19.399999999999999</v>
      </c>
      <c r="D32" s="185">
        <v>629</v>
      </c>
    </row>
    <row r="33" spans="1:4" x14ac:dyDescent="0.25">
      <c r="A33" s="163">
        <v>45970</v>
      </c>
      <c r="B33" s="282" t="s">
        <v>49</v>
      </c>
      <c r="C33" s="184">
        <v>21.84</v>
      </c>
      <c r="D33" s="185">
        <v>630</v>
      </c>
    </row>
    <row r="34" spans="1:4" x14ac:dyDescent="0.25">
      <c r="A34" s="163">
        <v>45970</v>
      </c>
      <c r="B34" s="282" t="s">
        <v>51</v>
      </c>
      <c r="C34" s="184">
        <v>21.57</v>
      </c>
      <c r="D34" s="185">
        <v>631</v>
      </c>
    </row>
    <row r="35" spans="1:4" ht="15.75" thickBot="1" x14ac:dyDescent="0.3">
      <c r="A35" s="166">
        <v>45970</v>
      </c>
      <c r="B35" s="290" t="s">
        <v>88</v>
      </c>
      <c r="C35" s="206">
        <v>22.04</v>
      </c>
      <c r="D35" s="291">
        <v>633</v>
      </c>
    </row>
    <row r="36" spans="1:4" x14ac:dyDescent="0.25">
      <c r="A36" s="159">
        <v>45971</v>
      </c>
      <c r="B36" s="292" t="s">
        <v>51</v>
      </c>
      <c r="C36" s="180">
        <v>20.32</v>
      </c>
      <c r="D36" s="182">
        <v>634</v>
      </c>
    </row>
    <row r="37" spans="1:4" x14ac:dyDescent="0.25">
      <c r="A37" s="163">
        <v>45971</v>
      </c>
      <c r="B37" s="282" t="s">
        <v>49</v>
      </c>
      <c r="C37" s="184">
        <v>21.98</v>
      </c>
      <c r="D37" s="185">
        <v>635</v>
      </c>
    </row>
    <row r="38" spans="1:4" x14ac:dyDescent="0.25">
      <c r="A38" s="163">
        <v>45971</v>
      </c>
      <c r="B38" s="282" t="s">
        <v>88</v>
      </c>
      <c r="C38" s="184">
        <v>18.46</v>
      </c>
      <c r="D38" s="185">
        <v>636</v>
      </c>
    </row>
    <row r="39" spans="1:4" x14ac:dyDescent="0.25">
      <c r="A39" s="163">
        <v>45971</v>
      </c>
      <c r="B39" s="282" t="s">
        <v>22</v>
      </c>
      <c r="C39" s="184">
        <v>22.18</v>
      </c>
      <c r="D39" s="185">
        <v>637</v>
      </c>
    </row>
    <row r="40" spans="1:4" ht="15.75" thickBot="1" x14ac:dyDescent="0.3">
      <c r="A40" s="166">
        <v>45971</v>
      </c>
      <c r="B40" s="290" t="s">
        <v>67</v>
      </c>
      <c r="C40" s="206">
        <v>21.7</v>
      </c>
      <c r="D40" s="291">
        <v>638</v>
      </c>
    </row>
    <row r="41" spans="1:4" x14ac:dyDescent="0.25">
      <c r="A41" s="159">
        <v>45972</v>
      </c>
      <c r="B41" s="292" t="s">
        <v>49</v>
      </c>
      <c r="C41" s="180">
        <v>21.85</v>
      </c>
      <c r="D41" s="182">
        <v>639</v>
      </c>
    </row>
    <row r="42" spans="1:4" x14ac:dyDescent="0.25">
      <c r="A42" s="163">
        <v>45972</v>
      </c>
      <c r="B42" s="282" t="s">
        <v>88</v>
      </c>
      <c r="C42" s="184">
        <v>19.809999999999999</v>
      </c>
      <c r="D42" s="185">
        <v>640</v>
      </c>
    </row>
    <row r="43" spans="1:4" x14ac:dyDescent="0.25">
      <c r="A43" s="163">
        <v>45972</v>
      </c>
      <c r="B43" s="282" t="s">
        <v>30</v>
      </c>
      <c r="C43" s="184">
        <v>20.59</v>
      </c>
      <c r="D43" s="185">
        <v>641</v>
      </c>
    </row>
    <row r="44" spans="1:4" x14ac:dyDescent="0.25">
      <c r="A44" s="163">
        <v>45972</v>
      </c>
      <c r="B44" s="282" t="s">
        <v>51</v>
      </c>
      <c r="C44" s="184">
        <v>20.91</v>
      </c>
      <c r="D44" s="185">
        <v>642</v>
      </c>
    </row>
    <row r="45" spans="1:4" x14ac:dyDescent="0.25">
      <c r="A45" s="163">
        <v>45972</v>
      </c>
      <c r="B45" s="282" t="s">
        <v>22</v>
      </c>
      <c r="C45" s="184">
        <v>20.95</v>
      </c>
      <c r="D45" s="185">
        <v>643</v>
      </c>
    </row>
    <row r="46" spans="1:4" ht="15.75" thickBot="1" x14ac:dyDescent="0.3">
      <c r="A46" s="166">
        <v>45972</v>
      </c>
      <c r="B46" s="290" t="s">
        <v>67</v>
      </c>
      <c r="C46" s="206">
        <v>20.3</v>
      </c>
      <c r="D46" s="291">
        <v>644</v>
      </c>
    </row>
    <row r="47" spans="1:4" x14ac:dyDescent="0.25">
      <c r="A47" s="159">
        <v>45974</v>
      </c>
      <c r="B47" s="292" t="s">
        <v>51</v>
      </c>
      <c r="C47" s="180">
        <v>21.53</v>
      </c>
      <c r="D47" s="182">
        <v>645</v>
      </c>
    </row>
    <row r="48" spans="1:4" x14ac:dyDescent="0.25">
      <c r="A48" s="163">
        <v>45974</v>
      </c>
      <c r="B48" s="282" t="s">
        <v>49</v>
      </c>
      <c r="C48" s="184">
        <v>22.12</v>
      </c>
      <c r="D48" s="185">
        <v>646</v>
      </c>
    </row>
    <row r="49" spans="1:4" x14ac:dyDescent="0.25">
      <c r="A49" s="163">
        <v>45974</v>
      </c>
      <c r="B49" s="282" t="s">
        <v>22</v>
      </c>
      <c r="C49" s="184">
        <v>20.59</v>
      </c>
      <c r="D49" s="185">
        <v>647</v>
      </c>
    </row>
    <row r="50" spans="1:4" x14ac:dyDescent="0.25">
      <c r="A50" s="163">
        <v>45974</v>
      </c>
      <c r="B50" s="282" t="s">
        <v>88</v>
      </c>
      <c r="C50" s="184">
        <v>20.59</v>
      </c>
      <c r="D50" s="185">
        <v>648</v>
      </c>
    </row>
    <row r="51" spans="1:4" ht="15.75" thickBot="1" x14ac:dyDescent="0.3">
      <c r="A51" s="166">
        <v>45974</v>
      </c>
      <c r="B51" s="290" t="s">
        <v>67</v>
      </c>
      <c r="C51" s="206">
        <v>20.8</v>
      </c>
      <c r="D51" s="291">
        <v>649</v>
      </c>
    </row>
    <row r="52" spans="1:4" x14ac:dyDescent="0.25">
      <c r="A52" s="159">
        <v>45983</v>
      </c>
      <c r="B52" s="292" t="s">
        <v>49</v>
      </c>
      <c r="C52" s="180">
        <v>23.12</v>
      </c>
      <c r="D52" s="182">
        <v>651</v>
      </c>
    </row>
    <row r="53" spans="1:4" x14ac:dyDescent="0.25">
      <c r="A53" s="163">
        <v>45983</v>
      </c>
      <c r="B53" s="282" t="s">
        <v>51</v>
      </c>
      <c r="C53" s="184">
        <v>19.7</v>
      </c>
      <c r="D53" s="185">
        <v>201</v>
      </c>
    </row>
    <row r="54" spans="1:4" x14ac:dyDescent="0.25">
      <c r="A54" s="163">
        <v>45983</v>
      </c>
      <c r="B54" s="282" t="s">
        <v>22</v>
      </c>
      <c r="C54" s="184">
        <v>19.63</v>
      </c>
      <c r="D54" s="185">
        <v>202</v>
      </c>
    </row>
    <row r="55" spans="1:4" x14ac:dyDescent="0.25">
      <c r="A55" s="163">
        <v>45983</v>
      </c>
      <c r="B55" s="282" t="s">
        <v>88</v>
      </c>
      <c r="C55" s="184">
        <v>22.79</v>
      </c>
      <c r="D55" s="185">
        <v>203</v>
      </c>
    </row>
    <row r="56" spans="1:4" ht="15.75" thickBot="1" x14ac:dyDescent="0.3">
      <c r="A56" s="209">
        <v>45983</v>
      </c>
      <c r="B56" s="289" t="s">
        <v>67</v>
      </c>
      <c r="C56" s="187">
        <v>21.45</v>
      </c>
      <c r="D56" s="189">
        <v>204</v>
      </c>
    </row>
    <row r="57" spans="1:4" ht="15.75" thickBot="1" x14ac:dyDescent="0.3">
      <c r="A57" s="170"/>
      <c r="B57" s="207"/>
      <c r="C57" s="201">
        <f>SUM(C26:C56)</f>
        <v>685.57000000000016</v>
      </c>
      <c r="D57" s="173"/>
    </row>
    <row r="59" spans="1:4" ht="15.75" thickBot="1" x14ac:dyDescent="0.3"/>
    <row r="60" spans="1:4" ht="15.75" thickBot="1" x14ac:dyDescent="0.3">
      <c r="A60" s="478" t="s">
        <v>943</v>
      </c>
      <c r="B60" s="479"/>
      <c r="C60" s="479"/>
      <c r="D60" s="480"/>
    </row>
    <row r="61" spans="1:4" ht="15.75" thickBot="1" x14ac:dyDescent="0.3">
      <c r="A61" s="285" t="s">
        <v>1</v>
      </c>
      <c r="B61" s="286" t="s">
        <v>2</v>
      </c>
      <c r="C61" s="286" t="s">
        <v>5</v>
      </c>
      <c r="D61" s="287" t="s">
        <v>600</v>
      </c>
    </row>
    <row r="62" spans="1:4" x14ac:dyDescent="0.25">
      <c r="A62" s="179">
        <v>46007</v>
      </c>
      <c r="B62" s="288" t="s">
        <v>51</v>
      </c>
      <c r="C62" s="180">
        <v>20.76</v>
      </c>
      <c r="D62" s="182">
        <v>205</v>
      </c>
    </row>
    <row r="63" spans="1:4" x14ac:dyDescent="0.25">
      <c r="A63" s="183">
        <v>46007</v>
      </c>
      <c r="B63" s="330" t="s">
        <v>30</v>
      </c>
      <c r="C63" s="184">
        <v>20.68</v>
      </c>
      <c r="D63" s="185">
        <v>206</v>
      </c>
    </row>
    <row r="64" spans="1:4" x14ac:dyDescent="0.25">
      <c r="A64" s="183">
        <v>46007</v>
      </c>
      <c r="B64" s="282" t="s">
        <v>67</v>
      </c>
      <c r="C64" s="184">
        <v>21.54</v>
      </c>
      <c r="D64" s="185">
        <v>207</v>
      </c>
    </row>
    <row r="65" spans="1:4" x14ac:dyDescent="0.25">
      <c r="A65" s="183">
        <v>46007</v>
      </c>
      <c r="B65" s="330" t="s">
        <v>49</v>
      </c>
      <c r="C65" s="184">
        <v>20.54</v>
      </c>
      <c r="D65" s="185">
        <v>208</v>
      </c>
    </row>
    <row r="66" spans="1:4" ht="15.75" thickBot="1" x14ac:dyDescent="0.3">
      <c r="A66" s="186">
        <v>46007</v>
      </c>
      <c r="B66" s="358" t="s">
        <v>22</v>
      </c>
      <c r="C66" s="187">
        <v>20.5</v>
      </c>
      <c r="D66" s="189">
        <v>209</v>
      </c>
    </row>
    <row r="67" spans="1:4" x14ac:dyDescent="0.25">
      <c r="A67" s="179">
        <v>46009</v>
      </c>
      <c r="B67" s="333" t="s">
        <v>49</v>
      </c>
      <c r="C67" s="180">
        <v>25.3</v>
      </c>
      <c r="D67" s="182">
        <v>210</v>
      </c>
    </row>
    <row r="68" spans="1:4" x14ac:dyDescent="0.25">
      <c r="A68" s="183">
        <v>46009</v>
      </c>
      <c r="B68" s="271" t="s">
        <v>51</v>
      </c>
      <c r="C68" s="184">
        <v>23.36</v>
      </c>
      <c r="D68" s="185">
        <v>211</v>
      </c>
    </row>
    <row r="69" spans="1:4" x14ac:dyDescent="0.25">
      <c r="A69" s="183">
        <v>46009</v>
      </c>
      <c r="B69" s="282" t="s">
        <v>67</v>
      </c>
      <c r="C69" s="184">
        <v>26.42</v>
      </c>
      <c r="D69" s="185">
        <v>213</v>
      </c>
    </row>
    <row r="70" spans="1:4" x14ac:dyDescent="0.25">
      <c r="A70" s="183">
        <v>46009</v>
      </c>
      <c r="B70" s="330" t="s">
        <v>22</v>
      </c>
      <c r="C70" s="184">
        <v>21.96</v>
      </c>
      <c r="D70" s="185">
        <v>212</v>
      </c>
    </row>
    <row r="71" spans="1:4" ht="15.75" thickBot="1" x14ac:dyDescent="0.3">
      <c r="A71" s="186">
        <v>46009</v>
      </c>
      <c r="B71" s="289" t="s">
        <v>67</v>
      </c>
      <c r="C71" s="187">
        <v>26.33</v>
      </c>
      <c r="D71" s="189">
        <v>214</v>
      </c>
    </row>
    <row r="72" spans="1:4" x14ac:dyDescent="0.25">
      <c r="A72" s="159">
        <v>46010</v>
      </c>
      <c r="B72" s="361" t="s">
        <v>49</v>
      </c>
      <c r="C72" s="365">
        <v>23.09</v>
      </c>
      <c r="D72" s="366">
        <v>215</v>
      </c>
    </row>
    <row r="73" spans="1:4" x14ac:dyDescent="0.25">
      <c r="A73" s="163">
        <v>46010</v>
      </c>
      <c r="B73" s="359" t="s">
        <v>30</v>
      </c>
      <c r="C73" s="364">
        <v>23.96</v>
      </c>
      <c r="D73" s="367">
        <v>216</v>
      </c>
    </row>
    <row r="74" spans="1:4" x14ac:dyDescent="0.25">
      <c r="A74" s="163">
        <v>46010</v>
      </c>
      <c r="B74" s="360" t="s">
        <v>67</v>
      </c>
      <c r="C74" s="364">
        <v>23.54</v>
      </c>
      <c r="D74" s="367">
        <v>217</v>
      </c>
    </row>
    <row r="75" spans="1:4" ht="15.75" thickBot="1" x14ac:dyDescent="0.3">
      <c r="A75" s="166">
        <v>46010</v>
      </c>
      <c r="B75" s="369" t="s">
        <v>49</v>
      </c>
      <c r="C75" s="370">
        <v>23.31</v>
      </c>
      <c r="D75" s="371">
        <v>218</v>
      </c>
    </row>
    <row r="76" spans="1:4" ht="15.75" thickBot="1" x14ac:dyDescent="0.3">
      <c r="A76" s="355">
        <v>46011</v>
      </c>
      <c r="B76" s="390" t="s">
        <v>51</v>
      </c>
      <c r="C76" s="362">
        <v>23.39</v>
      </c>
      <c r="D76" s="363">
        <v>219</v>
      </c>
    </row>
    <row r="77" spans="1:4" ht="15.75" thickBot="1" x14ac:dyDescent="0.3">
      <c r="A77" s="475" t="s">
        <v>83</v>
      </c>
      <c r="B77" s="481"/>
      <c r="C77" s="391">
        <f>SUM(C62:C76)</f>
        <v>344.68000000000006</v>
      </c>
      <c r="D77" s="220"/>
    </row>
    <row r="79" spans="1:4" ht="15.75" thickBot="1" x14ac:dyDescent="0.3"/>
    <row r="80" spans="1:4" ht="15.75" thickBot="1" x14ac:dyDescent="0.3">
      <c r="A80" s="478" t="s">
        <v>1054</v>
      </c>
      <c r="B80" s="479"/>
      <c r="C80" s="479"/>
      <c r="D80" s="480"/>
    </row>
    <row r="81" spans="1:4" ht="15.75" thickBot="1" x14ac:dyDescent="0.3">
      <c r="A81" s="285" t="s">
        <v>1</v>
      </c>
      <c r="B81" s="286" t="s">
        <v>2</v>
      </c>
      <c r="C81" s="286" t="s">
        <v>5</v>
      </c>
      <c r="D81" s="287" t="s">
        <v>600</v>
      </c>
    </row>
    <row r="82" spans="1:4" x14ac:dyDescent="0.25">
      <c r="A82" s="159">
        <v>46044</v>
      </c>
      <c r="B82" s="408" t="s">
        <v>42</v>
      </c>
      <c r="C82" s="365">
        <v>21.68</v>
      </c>
      <c r="D82" s="366">
        <v>220</v>
      </c>
    </row>
    <row r="83" spans="1:4" x14ac:dyDescent="0.25">
      <c r="A83" s="163">
        <v>46044</v>
      </c>
      <c r="B83" s="407" t="s">
        <v>49</v>
      </c>
      <c r="C83" s="364">
        <v>23.01</v>
      </c>
      <c r="D83" s="367">
        <v>221</v>
      </c>
    </row>
    <row r="84" spans="1:4" x14ac:dyDescent="0.25">
      <c r="A84" s="163">
        <v>46044</v>
      </c>
      <c r="B84" s="407" t="s">
        <v>30</v>
      </c>
      <c r="C84" s="364">
        <v>20.99</v>
      </c>
      <c r="D84" s="367">
        <v>222</v>
      </c>
    </row>
    <row r="85" spans="1:4" x14ac:dyDescent="0.25">
      <c r="A85" s="166">
        <v>46045</v>
      </c>
      <c r="B85" s="409" t="s">
        <v>88</v>
      </c>
      <c r="C85" s="370">
        <v>21.5</v>
      </c>
      <c r="D85" s="371">
        <v>223</v>
      </c>
    </row>
    <row r="86" spans="1:4" x14ac:dyDescent="0.25">
      <c r="A86" s="163">
        <v>46053</v>
      </c>
      <c r="B86" s="407" t="s">
        <v>1057</v>
      </c>
      <c r="C86" s="364">
        <v>34.1</v>
      </c>
      <c r="D86" s="367">
        <v>96731</v>
      </c>
    </row>
    <row r="87" spans="1:4" x14ac:dyDescent="0.25">
      <c r="A87" s="163">
        <v>46053</v>
      </c>
      <c r="B87" s="407" t="s">
        <v>1058</v>
      </c>
      <c r="C87" s="364">
        <v>29.43</v>
      </c>
      <c r="D87" s="367">
        <v>96725</v>
      </c>
    </row>
    <row r="88" spans="1:4" x14ac:dyDescent="0.25">
      <c r="A88" s="163">
        <v>46053</v>
      </c>
      <c r="B88" s="407" t="s">
        <v>1059</v>
      </c>
      <c r="C88" s="364">
        <v>27.78</v>
      </c>
      <c r="D88" s="367">
        <v>96729</v>
      </c>
    </row>
    <row r="89" spans="1:4" x14ac:dyDescent="0.25">
      <c r="A89" s="163">
        <v>46053</v>
      </c>
      <c r="B89" s="407" t="s">
        <v>1060</v>
      </c>
      <c r="C89" s="364">
        <v>27.81</v>
      </c>
      <c r="D89" s="367">
        <v>96728</v>
      </c>
    </row>
    <row r="90" spans="1:4" x14ac:dyDescent="0.25">
      <c r="A90" s="163">
        <v>46053</v>
      </c>
      <c r="B90" s="407" t="s">
        <v>1061</v>
      </c>
      <c r="C90" s="364">
        <v>24.43</v>
      </c>
      <c r="D90" s="367">
        <v>96726</v>
      </c>
    </row>
    <row r="91" spans="1:4" x14ac:dyDescent="0.25">
      <c r="A91" s="163">
        <v>46053</v>
      </c>
      <c r="B91" s="407" t="s">
        <v>1062</v>
      </c>
      <c r="C91" s="364">
        <v>30.24</v>
      </c>
      <c r="D91" s="367">
        <v>962732</v>
      </c>
    </row>
    <row r="92" spans="1:4" x14ac:dyDescent="0.25">
      <c r="A92" s="163">
        <v>46053</v>
      </c>
      <c r="B92" s="407" t="s">
        <v>1063</v>
      </c>
      <c r="C92" s="364">
        <v>24.85</v>
      </c>
      <c r="D92" s="367">
        <v>96727</v>
      </c>
    </row>
    <row r="93" spans="1:4" ht="15.75" thickBot="1" x14ac:dyDescent="0.3">
      <c r="A93" s="166">
        <v>46053</v>
      </c>
      <c r="B93" s="409" t="s">
        <v>1064</v>
      </c>
      <c r="C93" s="370">
        <v>32.659999999999997</v>
      </c>
      <c r="D93" s="371">
        <v>96730</v>
      </c>
    </row>
    <row r="94" spans="1:4" ht="15.75" thickBot="1" x14ac:dyDescent="0.3">
      <c r="A94" s="475" t="s">
        <v>83</v>
      </c>
      <c r="B94" s="481"/>
      <c r="C94" s="391">
        <f>SUM(C82:C93)</f>
        <v>318.48</v>
      </c>
      <c r="D94" s="220"/>
    </row>
  </sheetData>
  <mergeCells count="7">
    <mergeCell ref="A80:D80"/>
    <mergeCell ref="A94:B94"/>
    <mergeCell ref="A1:D1"/>
    <mergeCell ref="A13:D13"/>
    <mergeCell ref="A24:D24"/>
    <mergeCell ref="A60:D60"/>
    <mergeCell ref="A77:B7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46"/>
  <sheetViews>
    <sheetView topLeftCell="A688" workbookViewId="0">
      <selection activeCell="D702" sqref="D702"/>
    </sheetView>
  </sheetViews>
  <sheetFormatPr defaultColWidth="14.42578125" defaultRowHeight="15" customHeight="1" x14ac:dyDescent="0.25"/>
  <cols>
    <col min="1" max="1" width="10.42578125" customWidth="1"/>
    <col min="2" max="2" width="31.7109375" customWidth="1"/>
    <col min="3" max="3" width="12.28515625" bestFit="1" customWidth="1"/>
    <col min="4" max="4" width="28.140625" bestFit="1" customWidth="1"/>
    <col min="5" max="5" width="8.7109375" customWidth="1"/>
    <col min="6" max="6" width="11.5703125" customWidth="1"/>
    <col min="7" max="7" width="10.42578125" bestFit="1" customWidth="1"/>
    <col min="8" max="8" width="96.28515625" bestFit="1" customWidth="1"/>
    <col min="9" max="9" width="12.28515625" bestFit="1" customWidth="1"/>
    <col min="10" max="10" width="28.5703125" bestFit="1" customWidth="1"/>
    <col min="11" max="11" width="9.5703125" customWidth="1"/>
    <col min="12" max="26" width="8.7109375" customWidth="1"/>
  </cols>
  <sheetData>
    <row r="1" spans="1:11" x14ac:dyDescent="0.25">
      <c r="A1" s="505" t="s">
        <v>208</v>
      </c>
      <c r="B1" s="464"/>
      <c r="C1" s="464"/>
      <c r="D1" s="465"/>
      <c r="H1" s="505" t="s">
        <v>209</v>
      </c>
      <c r="I1" s="464"/>
      <c r="J1" s="464"/>
      <c r="K1" s="465"/>
    </row>
    <row r="2" spans="1:11" x14ac:dyDescent="0.25">
      <c r="A2" s="47" t="s">
        <v>210</v>
      </c>
      <c r="B2" s="48" t="s">
        <v>211</v>
      </c>
      <c r="C2" s="48" t="s">
        <v>212</v>
      </c>
      <c r="D2" s="51" t="s">
        <v>213</v>
      </c>
      <c r="H2" s="47" t="s">
        <v>210</v>
      </c>
      <c r="I2" s="48" t="s">
        <v>211</v>
      </c>
      <c r="J2" s="48" t="s">
        <v>212</v>
      </c>
      <c r="K2" s="51" t="s">
        <v>213</v>
      </c>
    </row>
    <row r="3" spans="1:11" x14ac:dyDescent="0.25">
      <c r="A3" s="22" t="s">
        <v>214</v>
      </c>
      <c r="B3" s="72" t="s">
        <v>215</v>
      </c>
      <c r="C3" s="73">
        <v>4500</v>
      </c>
      <c r="D3" s="22"/>
      <c r="H3" s="74">
        <v>45753</v>
      </c>
      <c r="I3" s="75" t="s">
        <v>216</v>
      </c>
      <c r="J3" s="13">
        <v>430000</v>
      </c>
      <c r="K3" s="76"/>
    </row>
    <row r="4" spans="1:11" x14ac:dyDescent="0.25">
      <c r="A4" s="504" t="s">
        <v>217</v>
      </c>
      <c r="B4" s="72" t="s">
        <v>218</v>
      </c>
      <c r="C4" s="73">
        <v>6000</v>
      </c>
      <c r="D4" s="22" t="s">
        <v>219</v>
      </c>
      <c r="H4" s="77">
        <v>45754</v>
      </c>
      <c r="I4" s="78" t="s">
        <v>220</v>
      </c>
      <c r="J4" s="23">
        <v>53.1</v>
      </c>
      <c r="K4" s="79"/>
    </row>
    <row r="5" spans="1:11" x14ac:dyDescent="0.25">
      <c r="A5" s="448"/>
      <c r="B5" s="72" t="s">
        <v>221</v>
      </c>
      <c r="C5" s="73">
        <v>1600</v>
      </c>
      <c r="D5" s="22"/>
      <c r="H5" s="506">
        <v>45771</v>
      </c>
      <c r="I5" s="78" t="s">
        <v>222</v>
      </c>
      <c r="J5" s="23">
        <v>88627</v>
      </c>
      <c r="K5" s="79"/>
    </row>
    <row r="6" spans="1:11" x14ac:dyDescent="0.25">
      <c r="A6" s="504" t="s">
        <v>223</v>
      </c>
      <c r="B6" s="72" t="s">
        <v>224</v>
      </c>
      <c r="C6" s="73">
        <f>380+170</f>
        <v>550</v>
      </c>
      <c r="D6" s="22"/>
      <c r="H6" s="460"/>
      <c r="I6" s="78" t="s">
        <v>225</v>
      </c>
      <c r="J6" s="23">
        <v>126938</v>
      </c>
      <c r="K6" s="79"/>
    </row>
    <row r="7" spans="1:11" x14ac:dyDescent="0.25">
      <c r="A7" s="468"/>
      <c r="B7" s="72" t="s">
        <v>226</v>
      </c>
      <c r="C7" s="73">
        <v>4000</v>
      </c>
      <c r="D7" s="22"/>
      <c r="H7" s="506">
        <v>45775</v>
      </c>
      <c r="I7" s="78" t="s">
        <v>227</v>
      </c>
      <c r="J7" s="23">
        <v>206773</v>
      </c>
      <c r="K7" s="79"/>
    </row>
    <row r="8" spans="1:11" x14ac:dyDescent="0.25">
      <c r="A8" s="468"/>
      <c r="B8" s="72" t="s">
        <v>228</v>
      </c>
      <c r="C8" s="73">
        <v>6000</v>
      </c>
      <c r="D8" s="22"/>
      <c r="H8" s="460"/>
      <c r="I8" s="78" t="s">
        <v>229</v>
      </c>
      <c r="J8" s="23">
        <v>7000</v>
      </c>
      <c r="K8" s="79"/>
    </row>
    <row r="9" spans="1:11" x14ac:dyDescent="0.25">
      <c r="A9" s="448"/>
      <c r="B9" s="72" t="s">
        <v>230</v>
      </c>
      <c r="C9" s="73">
        <v>5000</v>
      </c>
      <c r="D9" s="22"/>
      <c r="H9" s="77"/>
      <c r="I9" s="78"/>
      <c r="J9" s="23"/>
      <c r="K9" s="79"/>
    </row>
    <row r="10" spans="1:11" x14ac:dyDescent="0.25">
      <c r="A10" s="504" t="s">
        <v>231</v>
      </c>
      <c r="B10" s="72" t="s">
        <v>232</v>
      </c>
      <c r="C10" s="73">
        <v>15750</v>
      </c>
      <c r="D10" s="22"/>
      <c r="H10" s="77"/>
      <c r="I10" s="78"/>
      <c r="J10" s="34"/>
      <c r="K10" s="79"/>
    </row>
    <row r="11" spans="1:11" x14ac:dyDescent="0.25">
      <c r="A11" s="468"/>
      <c r="B11" s="72" t="s">
        <v>233</v>
      </c>
      <c r="C11" s="73">
        <v>5800</v>
      </c>
      <c r="D11" s="22"/>
      <c r="H11" s="81"/>
      <c r="I11" s="82"/>
      <c r="J11" s="83">
        <f>SUM(J3:J10)</f>
        <v>859391.1</v>
      </c>
      <c r="K11" s="84"/>
    </row>
    <row r="12" spans="1:11" x14ac:dyDescent="0.25">
      <c r="A12" s="468"/>
      <c r="B12" s="72" t="s">
        <v>234</v>
      </c>
      <c r="C12" s="73">
        <v>50000</v>
      </c>
      <c r="D12" s="22"/>
    </row>
    <row r="13" spans="1:11" x14ac:dyDescent="0.25">
      <c r="A13" s="448"/>
      <c r="B13" s="72" t="s">
        <v>235</v>
      </c>
      <c r="C13" s="73">
        <v>100</v>
      </c>
      <c r="D13" s="22"/>
    </row>
    <row r="14" spans="1:11" x14ac:dyDescent="0.25">
      <c r="A14" s="504" t="s">
        <v>236</v>
      </c>
      <c r="B14" s="72" t="s">
        <v>237</v>
      </c>
      <c r="C14" s="73">
        <v>800</v>
      </c>
      <c r="D14" s="22"/>
      <c r="J14" s="54"/>
    </row>
    <row r="15" spans="1:11" x14ac:dyDescent="0.25">
      <c r="A15" s="468"/>
      <c r="B15" s="72" t="s">
        <v>238</v>
      </c>
      <c r="C15" s="73">
        <v>200</v>
      </c>
      <c r="D15" s="22"/>
    </row>
    <row r="16" spans="1:11" x14ac:dyDescent="0.25">
      <c r="A16" s="448"/>
      <c r="B16" s="72" t="s">
        <v>239</v>
      </c>
      <c r="C16" s="73">
        <v>790</v>
      </c>
      <c r="D16" s="22"/>
    </row>
    <row r="17" spans="1:4" x14ac:dyDescent="0.25">
      <c r="A17" s="504" t="s">
        <v>240</v>
      </c>
      <c r="B17" s="72" t="s">
        <v>241</v>
      </c>
      <c r="C17" s="73">
        <v>15000</v>
      </c>
      <c r="D17" s="22"/>
    </row>
    <row r="18" spans="1:4" x14ac:dyDescent="0.25">
      <c r="A18" s="468"/>
      <c r="B18" s="72" t="s">
        <v>242</v>
      </c>
      <c r="C18" s="73">
        <v>10000</v>
      </c>
      <c r="D18" s="22"/>
    </row>
    <row r="19" spans="1:4" x14ac:dyDescent="0.25">
      <c r="A19" s="448"/>
      <c r="B19" s="72" t="s">
        <v>243</v>
      </c>
      <c r="C19" s="73">
        <v>4500</v>
      </c>
      <c r="D19" s="22"/>
    </row>
    <row r="20" spans="1:4" x14ac:dyDescent="0.25">
      <c r="A20" s="504" t="s">
        <v>244</v>
      </c>
      <c r="B20" s="72" t="s">
        <v>215</v>
      </c>
      <c r="C20" s="73">
        <v>13100</v>
      </c>
      <c r="D20" s="22"/>
    </row>
    <row r="21" spans="1:4" ht="15.75" customHeight="1" x14ac:dyDescent="0.25">
      <c r="A21" s="448"/>
      <c r="B21" s="72" t="s">
        <v>245</v>
      </c>
      <c r="C21" s="73">
        <v>200</v>
      </c>
      <c r="D21" s="22"/>
    </row>
    <row r="22" spans="1:4" ht="15.75" customHeight="1" x14ac:dyDescent="0.25">
      <c r="A22" s="504" t="s">
        <v>246</v>
      </c>
      <c r="B22" s="72" t="s">
        <v>230</v>
      </c>
      <c r="C22" s="73">
        <v>5000</v>
      </c>
      <c r="D22" s="22"/>
    </row>
    <row r="23" spans="1:4" ht="15.75" customHeight="1" x14ac:dyDescent="0.25">
      <c r="A23" s="468"/>
      <c r="B23" s="72" t="s">
        <v>247</v>
      </c>
      <c r="C23" s="73">
        <v>6000</v>
      </c>
      <c r="D23" s="22"/>
    </row>
    <row r="24" spans="1:4" ht="15.75" customHeight="1" x14ac:dyDescent="0.25">
      <c r="A24" s="468"/>
      <c r="B24" s="72" t="s">
        <v>248</v>
      </c>
      <c r="C24" s="73">
        <v>5000</v>
      </c>
      <c r="D24" s="22"/>
    </row>
    <row r="25" spans="1:4" ht="15.75" customHeight="1" x14ac:dyDescent="0.25">
      <c r="A25" s="468"/>
      <c r="B25" s="72" t="s">
        <v>249</v>
      </c>
      <c r="C25" s="73">
        <v>4500</v>
      </c>
      <c r="D25" s="22"/>
    </row>
    <row r="26" spans="1:4" ht="15.75" customHeight="1" x14ac:dyDescent="0.25">
      <c r="A26" s="448"/>
      <c r="B26" s="72" t="s">
        <v>215</v>
      </c>
      <c r="C26" s="73">
        <v>7500</v>
      </c>
      <c r="D26" s="22"/>
    </row>
    <row r="27" spans="1:4" ht="15.75" customHeight="1" x14ac:dyDescent="0.25">
      <c r="A27" s="504" t="s">
        <v>250</v>
      </c>
      <c r="B27" s="72" t="s">
        <v>215</v>
      </c>
      <c r="C27" s="73">
        <v>9100</v>
      </c>
      <c r="D27" s="22"/>
    </row>
    <row r="28" spans="1:4" ht="15.75" customHeight="1" x14ac:dyDescent="0.25">
      <c r="A28" s="468"/>
      <c r="B28" s="72" t="s">
        <v>251</v>
      </c>
      <c r="C28" s="73">
        <v>4900</v>
      </c>
      <c r="D28" s="22"/>
    </row>
    <row r="29" spans="1:4" ht="15.75" customHeight="1" x14ac:dyDescent="0.25">
      <c r="A29" s="468"/>
      <c r="B29" s="72" t="s">
        <v>252</v>
      </c>
      <c r="C29" s="73">
        <v>950</v>
      </c>
      <c r="D29" s="22"/>
    </row>
    <row r="30" spans="1:4" ht="15.75" customHeight="1" x14ac:dyDescent="0.25">
      <c r="A30" s="448"/>
      <c r="B30" s="72" t="s">
        <v>253</v>
      </c>
      <c r="C30" s="73">
        <v>30000</v>
      </c>
      <c r="D30" s="22"/>
    </row>
    <row r="31" spans="1:4" ht="15.75" customHeight="1" x14ac:dyDescent="0.25">
      <c r="A31" s="504" t="s">
        <v>254</v>
      </c>
      <c r="B31" s="72" t="s">
        <v>255</v>
      </c>
      <c r="C31" s="73">
        <v>450</v>
      </c>
      <c r="D31" s="22"/>
    </row>
    <row r="32" spans="1:4" ht="15.75" customHeight="1" x14ac:dyDescent="0.25">
      <c r="A32" s="468"/>
      <c r="B32" s="72" t="s">
        <v>256</v>
      </c>
      <c r="C32" s="73">
        <v>2900</v>
      </c>
      <c r="D32" s="22"/>
    </row>
    <row r="33" spans="1:4" ht="15.75" customHeight="1" x14ac:dyDescent="0.25">
      <c r="A33" s="448"/>
      <c r="B33" s="72" t="s">
        <v>257</v>
      </c>
      <c r="C33" s="73">
        <v>2200</v>
      </c>
      <c r="D33" s="22"/>
    </row>
    <row r="34" spans="1:4" ht="15.75" customHeight="1" x14ac:dyDescent="0.25">
      <c r="A34" s="22" t="s">
        <v>258</v>
      </c>
      <c r="B34" s="72" t="s">
        <v>259</v>
      </c>
      <c r="C34" s="73">
        <v>2000</v>
      </c>
      <c r="D34" s="22"/>
    </row>
    <row r="35" spans="1:4" ht="15.75" customHeight="1" x14ac:dyDescent="0.25">
      <c r="A35" s="504" t="s">
        <v>260</v>
      </c>
      <c r="B35" s="72" t="s">
        <v>230</v>
      </c>
      <c r="C35" s="73">
        <v>5000</v>
      </c>
      <c r="D35" s="22"/>
    </row>
    <row r="36" spans="1:4" ht="15.75" customHeight="1" x14ac:dyDescent="0.25">
      <c r="A36" s="468"/>
      <c r="B36" s="72" t="s">
        <v>261</v>
      </c>
      <c r="C36" s="73">
        <v>50000</v>
      </c>
      <c r="D36" s="22"/>
    </row>
    <row r="37" spans="1:4" ht="15.75" customHeight="1" x14ac:dyDescent="0.25">
      <c r="A37" s="448"/>
      <c r="B37" s="72" t="s">
        <v>262</v>
      </c>
      <c r="C37" s="73">
        <v>17820</v>
      </c>
      <c r="D37" s="22"/>
    </row>
    <row r="38" spans="1:4" ht="15.75" customHeight="1" x14ac:dyDescent="0.25">
      <c r="A38" s="504" t="s">
        <v>263</v>
      </c>
      <c r="B38" s="72" t="s">
        <v>264</v>
      </c>
      <c r="C38" s="73">
        <v>50000</v>
      </c>
      <c r="D38" s="22"/>
    </row>
    <row r="39" spans="1:4" ht="15.75" customHeight="1" x14ac:dyDescent="0.25">
      <c r="A39" s="468"/>
      <c r="B39" s="72" t="s">
        <v>265</v>
      </c>
      <c r="C39" s="73">
        <v>9700</v>
      </c>
      <c r="D39" s="22"/>
    </row>
    <row r="40" spans="1:4" ht="15.75" customHeight="1" x14ac:dyDescent="0.25">
      <c r="A40" s="468"/>
      <c r="B40" s="72" t="s">
        <v>226</v>
      </c>
      <c r="C40" s="73">
        <v>32200</v>
      </c>
      <c r="D40" s="22"/>
    </row>
    <row r="41" spans="1:4" ht="15.75" customHeight="1" x14ac:dyDescent="0.25">
      <c r="A41" s="468"/>
      <c r="B41" s="72" t="s">
        <v>266</v>
      </c>
      <c r="C41" s="73">
        <v>2000</v>
      </c>
      <c r="D41" s="22"/>
    </row>
    <row r="42" spans="1:4" ht="15.75" customHeight="1" x14ac:dyDescent="0.25">
      <c r="A42" s="448"/>
      <c r="B42" s="72" t="s">
        <v>267</v>
      </c>
      <c r="C42" s="73">
        <v>320</v>
      </c>
      <c r="D42" s="22"/>
    </row>
    <row r="43" spans="1:4" ht="15.75" customHeight="1" x14ac:dyDescent="0.25">
      <c r="A43" s="504" t="s">
        <v>268</v>
      </c>
      <c r="B43" s="72" t="s">
        <v>269</v>
      </c>
      <c r="C43" s="73">
        <v>3100</v>
      </c>
      <c r="D43" s="22"/>
    </row>
    <row r="44" spans="1:4" ht="15.75" customHeight="1" x14ac:dyDescent="0.25">
      <c r="A44" s="468"/>
      <c r="B44" s="72" t="s">
        <v>215</v>
      </c>
      <c r="C44" s="73">
        <v>11600</v>
      </c>
      <c r="D44" s="22"/>
    </row>
    <row r="45" spans="1:4" ht="15.75" customHeight="1" x14ac:dyDescent="0.25">
      <c r="A45" s="448"/>
      <c r="B45" s="72" t="s">
        <v>245</v>
      </c>
      <c r="C45" s="73">
        <v>500</v>
      </c>
      <c r="D45" s="22"/>
    </row>
    <row r="46" spans="1:4" ht="15.75" customHeight="1" x14ac:dyDescent="0.25">
      <c r="A46" s="504" t="s">
        <v>270</v>
      </c>
      <c r="B46" s="72" t="s">
        <v>271</v>
      </c>
      <c r="C46" s="73">
        <v>5000</v>
      </c>
      <c r="D46" s="22"/>
    </row>
    <row r="47" spans="1:4" ht="15.75" customHeight="1" x14ac:dyDescent="0.25">
      <c r="A47" s="448"/>
      <c r="B47" s="72" t="s">
        <v>272</v>
      </c>
      <c r="C47" s="73">
        <v>4000</v>
      </c>
      <c r="D47" s="22"/>
    </row>
    <row r="48" spans="1:4" ht="15.75" customHeight="1" x14ac:dyDescent="0.25">
      <c r="A48" s="504" t="s">
        <v>273</v>
      </c>
      <c r="B48" s="72" t="s">
        <v>274</v>
      </c>
      <c r="C48" s="73">
        <v>1200</v>
      </c>
      <c r="D48" s="22"/>
    </row>
    <row r="49" spans="1:4" ht="15.75" customHeight="1" x14ac:dyDescent="0.25">
      <c r="A49" s="468"/>
      <c r="B49" s="72" t="s">
        <v>215</v>
      </c>
      <c r="C49" s="73">
        <v>7400</v>
      </c>
      <c r="D49" s="22"/>
    </row>
    <row r="50" spans="1:4" ht="15.75" customHeight="1" x14ac:dyDescent="0.25">
      <c r="A50" s="448"/>
      <c r="B50" s="72" t="s">
        <v>275</v>
      </c>
      <c r="C50" s="73">
        <v>10100</v>
      </c>
      <c r="D50" s="22"/>
    </row>
    <row r="51" spans="1:4" ht="15.75" customHeight="1" x14ac:dyDescent="0.25">
      <c r="A51" s="504" t="s">
        <v>276</v>
      </c>
      <c r="B51" s="72" t="s">
        <v>277</v>
      </c>
      <c r="C51" s="73">
        <v>560</v>
      </c>
      <c r="D51" s="22"/>
    </row>
    <row r="52" spans="1:4" ht="15.75" customHeight="1" x14ac:dyDescent="0.25">
      <c r="A52" s="468"/>
      <c r="B52" s="72" t="s">
        <v>278</v>
      </c>
      <c r="C52" s="73">
        <v>8400</v>
      </c>
      <c r="D52" s="22"/>
    </row>
    <row r="53" spans="1:4" ht="15.75" customHeight="1" x14ac:dyDescent="0.25">
      <c r="A53" s="448"/>
      <c r="B53" s="72" t="s">
        <v>279</v>
      </c>
      <c r="C53" s="73">
        <v>14140</v>
      </c>
      <c r="D53" s="22"/>
    </row>
    <row r="54" spans="1:4" ht="15.75" customHeight="1" x14ac:dyDescent="0.25">
      <c r="A54" s="504" t="s">
        <v>280</v>
      </c>
      <c r="B54" s="72" t="s">
        <v>281</v>
      </c>
      <c r="C54" s="73">
        <v>2000</v>
      </c>
      <c r="D54" s="22"/>
    </row>
    <row r="55" spans="1:4" ht="15.75" customHeight="1" x14ac:dyDescent="0.25">
      <c r="A55" s="448"/>
      <c r="B55" s="72" t="s">
        <v>261</v>
      </c>
      <c r="C55" s="73">
        <v>50000</v>
      </c>
      <c r="D55" s="22"/>
    </row>
    <row r="56" spans="1:4" ht="15.75" customHeight="1" x14ac:dyDescent="0.25">
      <c r="A56" s="504" t="s">
        <v>282</v>
      </c>
      <c r="B56" s="72" t="s">
        <v>283</v>
      </c>
      <c r="C56" s="73">
        <v>80000</v>
      </c>
      <c r="D56" s="22"/>
    </row>
    <row r="57" spans="1:4" ht="15.75" customHeight="1" x14ac:dyDescent="0.25">
      <c r="A57" s="468"/>
      <c r="B57" s="72" t="s">
        <v>284</v>
      </c>
      <c r="C57" s="73">
        <v>400</v>
      </c>
      <c r="D57" s="22"/>
    </row>
    <row r="58" spans="1:4" ht="15.75" customHeight="1" x14ac:dyDescent="0.25">
      <c r="A58" s="448"/>
      <c r="B58" s="72" t="s">
        <v>215</v>
      </c>
      <c r="C58" s="73">
        <v>4800</v>
      </c>
      <c r="D58" s="22"/>
    </row>
    <row r="59" spans="1:4" ht="15.75" customHeight="1" x14ac:dyDescent="0.25">
      <c r="A59" s="504" t="s">
        <v>285</v>
      </c>
      <c r="B59" s="72" t="s">
        <v>242</v>
      </c>
      <c r="C59" s="73">
        <v>30000</v>
      </c>
      <c r="D59" s="22"/>
    </row>
    <row r="60" spans="1:4" ht="15.75" customHeight="1" x14ac:dyDescent="0.25">
      <c r="A60" s="448"/>
      <c r="B60" s="72" t="s">
        <v>286</v>
      </c>
      <c r="C60" s="73">
        <v>1000</v>
      </c>
      <c r="D60" s="22"/>
    </row>
    <row r="61" spans="1:4" ht="15.75" customHeight="1" x14ac:dyDescent="0.25">
      <c r="A61" s="504" t="s">
        <v>287</v>
      </c>
      <c r="B61" s="72" t="s">
        <v>288</v>
      </c>
      <c r="C61" s="73">
        <v>600</v>
      </c>
      <c r="D61" s="22"/>
    </row>
    <row r="62" spans="1:4" ht="15.75" customHeight="1" x14ac:dyDescent="0.25">
      <c r="A62" s="468"/>
      <c r="B62" s="72" t="s">
        <v>289</v>
      </c>
      <c r="C62" s="73">
        <v>200</v>
      </c>
      <c r="D62" s="22"/>
    </row>
    <row r="63" spans="1:4" ht="15.75" customHeight="1" x14ac:dyDescent="0.25">
      <c r="A63" s="448"/>
      <c r="B63" s="72" t="s">
        <v>290</v>
      </c>
      <c r="C63" s="73">
        <v>2000</v>
      </c>
      <c r="D63" s="22"/>
    </row>
    <row r="64" spans="1:4" ht="15.75" customHeight="1" x14ac:dyDescent="0.25">
      <c r="A64" s="504" t="s">
        <v>291</v>
      </c>
      <c r="B64" s="72" t="s">
        <v>292</v>
      </c>
      <c r="C64" s="73">
        <v>160</v>
      </c>
      <c r="D64" s="22"/>
    </row>
    <row r="65" spans="1:4" ht="15.75" customHeight="1" x14ac:dyDescent="0.25">
      <c r="A65" s="468"/>
      <c r="B65" s="72" t="s">
        <v>293</v>
      </c>
      <c r="C65" s="73">
        <v>10000</v>
      </c>
      <c r="D65" s="22"/>
    </row>
    <row r="66" spans="1:4" ht="15.75" customHeight="1" x14ac:dyDescent="0.25">
      <c r="A66" s="468"/>
      <c r="B66" s="72" t="s">
        <v>215</v>
      </c>
      <c r="C66" s="73">
        <v>9300</v>
      </c>
      <c r="D66" s="22"/>
    </row>
    <row r="67" spans="1:4" ht="15.75" customHeight="1" x14ac:dyDescent="0.25">
      <c r="A67" s="448"/>
      <c r="B67" s="72" t="s">
        <v>294</v>
      </c>
      <c r="C67" s="73">
        <v>300</v>
      </c>
      <c r="D67" s="22"/>
    </row>
    <row r="68" spans="1:4" ht="15.75" customHeight="1" x14ac:dyDescent="0.25">
      <c r="A68" s="22" t="s">
        <v>295</v>
      </c>
      <c r="B68" s="72" t="s">
        <v>296</v>
      </c>
      <c r="C68" s="73">
        <v>500</v>
      </c>
      <c r="D68" s="22"/>
    </row>
    <row r="69" spans="1:4" ht="15.75" customHeight="1" x14ac:dyDescent="0.25">
      <c r="A69" s="504" t="s">
        <v>297</v>
      </c>
      <c r="B69" s="72" t="s">
        <v>298</v>
      </c>
      <c r="C69" s="73">
        <v>700</v>
      </c>
      <c r="D69" s="22"/>
    </row>
    <row r="70" spans="1:4" ht="15.75" customHeight="1" x14ac:dyDescent="0.25">
      <c r="A70" s="448"/>
      <c r="B70" s="72" t="s">
        <v>299</v>
      </c>
      <c r="C70" s="73">
        <v>100</v>
      </c>
      <c r="D70" s="22"/>
    </row>
    <row r="71" spans="1:4" ht="15.75" customHeight="1" x14ac:dyDescent="0.25">
      <c r="A71" s="22" t="s">
        <v>300</v>
      </c>
      <c r="B71" s="72" t="s">
        <v>301</v>
      </c>
      <c r="C71" s="73">
        <v>29000</v>
      </c>
      <c r="D71" s="22"/>
    </row>
    <row r="72" spans="1:4" ht="15.75" customHeight="1" x14ac:dyDescent="0.25">
      <c r="A72" s="504" t="s">
        <v>302</v>
      </c>
      <c r="B72" s="72" t="s">
        <v>215</v>
      </c>
      <c r="C72" s="73">
        <v>12300</v>
      </c>
      <c r="D72" s="22"/>
    </row>
    <row r="73" spans="1:4" ht="15.75" customHeight="1" x14ac:dyDescent="0.25">
      <c r="A73" s="468"/>
      <c r="B73" s="72" t="s">
        <v>303</v>
      </c>
      <c r="C73" s="73">
        <v>950</v>
      </c>
      <c r="D73" s="22"/>
    </row>
    <row r="74" spans="1:4" ht="15.75" customHeight="1" x14ac:dyDescent="0.25">
      <c r="A74" s="468"/>
      <c r="B74" s="72" t="s">
        <v>304</v>
      </c>
      <c r="C74" s="73">
        <v>1540</v>
      </c>
      <c r="D74" s="22"/>
    </row>
    <row r="75" spans="1:4" ht="15.75" customHeight="1" x14ac:dyDescent="0.25">
      <c r="A75" s="468"/>
      <c r="B75" s="72" t="s">
        <v>233</v>
      </c>
      <c r="C75" s="73">
        <v>5700</v>
      </c>
      <c r="D75" s="22"/>
    </row>
    <row r="76" spans="1:4" ht="15.75" customHeight="1" x14ac:dyDescent="0.25">
      <c r="A76" s="468"/>
      <c r="B76" s="72" t="s">
        <v>305</v>
      </c>
      <c r="C76" s="73">
        <v>800</v>
      </c>
      <c r="D76" s="22"/>
    </row>
    <row r="77" spans="1:4" ht="15.75" customHeight="1" x14ac:dyDescent="0.25">
      <c r="A77" s="448"/>
      <c r="B77" s="72" t="s">
        <v>306</v>
      </c>
      <c r="C77" s="85">
        <v>50000</v>
      </c>
      <c r="D77" s="22"/>
    </row>
    <row r="78" spans="1:4" ht="15.75" customHeight="1" x14ac:dyDescent="0.25">
      <c r="C78" s="86">
        <f>SUM(C3:C77)</f>
        <v>749780</v>
      </c>
    </row>
    <row r="79" spans="1:4" ht="15.75" customHeight="1" x14ac:dyDescent="0.25">
      <c r="C79" s="46"/>
    </row>
    <row r="80" spans="1:4" ht="15.75" customHeight="1" x14ac:dyDescent="0.25">
      <c r="C80" s="46"/>
    </row>
    <row r="81" spans="1:10" ht="15.75" customHeight="1" x14ac:dyDescent="0.25">
      <c r="C81" s="46"/>
    </row>
    <row r="82" spans="1:10" ht="15.75" customHeight="1" x14ac:dyDescent="0.25">
      <c r="A82" s="505" t="s">
        <v>307</v>
      </c>
      <c r="B82" s="464"/>
      <c r="C82" s="464"/>
      <c r="D82" s="465"/>
      <c r="G82" s="505" t="s">
        <v>308</v>
      </c>
      <c r="H82" s="464"/>
      <c r="I82" s="464"/>
      <c r="J82" s="465"/>
    </row>
    <row r="83" spans="1:10" ht="15.75" customHeight="1" x14ac:dyDescent="0.25">
      <c r="A83" s="47" t="s">
        <v>210</v>
      </c>
      <c r="B83" s="48" t="s">
        <v>211</v>
      </c>
      <c r="C83" s="48" t="s">
        <v>212</v>
      </c>
      <c r="D83" s="51" t="s">
        <v>213</v>
      </c>
      <c r="G83" s="47" t="s">
        <v>210</v>
      </c>
      <c r="H83" s="48" t="s">
        <v>211</v>
      </c>
      <c r="I83" s="48" t="s">
        <v>212</v>
      </c>
      <c r="J83" s="51" t="s">
        <v>213</v>
      </c>
    </row>
    <row r="84" spans="1:10" ht="15.75" customHeight="1" x14ac:dyDescent="0.25">
      <c r="A84" s="504" t="s">
        <v>309</v>
      </c>
      <c r="B84" s="72" t="s">
        <v>310</v>
      </c>
      <c r="C84" s="23">
        <v>10000</v>
      </c>
      <c r="D84" s="87" t="s">
        <v>311</v>
      </c>
      <c r="G84" s="74">
        <v>45780</v>
      </c>
      <c r="H84" s="75" t="s">
        <v>312</v>
      </c>
      <c r="I84" s="13">
        <v>57972</v>
      </c>
      <c r="J84" s="76"/>
    </row>
    <row r="85" spans="1:10" ht="15.75" customHeight="1" x14ac:dyDescent="0.25">
      <c r="A85" s="448"/>
      <c r="B85" s="72" t="s">
        <v>313</v>
      </c>
      <c r="C85" s="23">
        <v>2000</v>
      </c>
      <c r="D85" s="87"/>
      <c r="G85" s="77">
        <v>45754</v>
      </c>
      <c r="H85" s="78" t="s">
        <v>314</v>
      </c>
      <c r="I85" s="23">
        <v>400000</v>
      </c>
      <c r="J85" s="79"/>
    </row>
    <row r="86" spans="1:10" ht="15.75" customHeight="1" x14ac:dyDescent="0.25">
      <c r="A86" s="504" t="s">
        <v>315</v>
      </c>
      <c r="B86" s="72" t="s">
        <v>316</v>
      </c>
      <c r="C86" s="23">
        <v>1000</v>
      </c>
      <c r="D86" s="87"/>
      <c r="G86" s="80">
        <v>45790</v>
      </c>
      <c r="H86" s="78" t="s">
        <v>317</v>
      </c>
      <c r="I86" s="23">
        <v>29.5</v>
      </c>
      <c r="J86" s="79"/>
    </row>
    <row r="87" spans="1:10" ht="15.75" customHeight="1" x14ac:dyDescent="0.25">
      <c r="A87" s="468"/>
      <c r="B87" s="72" t="s">
        <v>318</v>
      </c>
      <c r="C87" s="23">
        <v>1700</v>
      </c>
      <c r="D87" s="87"/>
      <c r="G87" s="80">
        <v>45802</v>
      </c>
      <c r="H87" s="78" t="s">
        <v>227</v>
      </c>
      <c r="I87" s="23">
        <v>222521</v>
      </c>
      <c r="J87" s="79"/>
    </row>
    <row r="88" spans="1:10" ht="15.75" customHeight="1" x14ac:dyDescent="0.25">
      <c r="A88" s="448"/>
      <c r="B88" s="72" t="s">
        <v>319</v>
      </c>
      <c r="C88" s="23">
        <v>3000</v>
      </c>
      <c r="D88" s="87"/>
      <c r="G88" s="80">
        <v>45805</v>
      </c>
      <c r="H88" s="88" t="s">
        <v>222</v>
      </c>
      <c r="I88" s="34">
        <v>76794</v>
      </c>
      <c r="J88" s="89"/>
    </row>
    <row r="89" spans="1:10" ht="15.75" customHeight="1" x14ac:dyDescent="0.25">
      <c r="A89" s="504" t="s">
        <v>320</v>
      </c>
      <c r="B89" s="72" t="s">
        <v>321</v>
      </c>
      <c r="C89" s="23">
        <v>5000</v>
      </c>
      <c r="D89" s="87" t="s">
        <v>322</v>
      </c>
      <c r="G89" s="77"/>
      <c r="H89" s="78"/>
      <c r="I89" s="23"/>
      <c r="J89" s="79"/>
    </row>
    <row r="90" spans="1:10" ht="15.75" customHeight="1" x14ac:dyDescent="0.25">
      <c r="A90" s="448"/>
      <c r="B90" s="72" t="s">
        <v>323</v>
      </c>
      <c r="C90" s="23">
        <v>5800</v>
      </c>
      <c r="D90" s="87" t="s">
        <v>324</v>
      </c>
      <c r="G90" s="77"/>
      <c r="H90" s="78"/>
      <c r="I90" s="34"/>
      <c r="J90" s="79"/>
    </row>
    <row r="91" spans="1:10" ht="15.75" customHeight="1" x14ac:dyDescent="0.25">
      <c r="A91" s="22" t="s">
        <v>325</v>
      </c>
      <c r="B91" s="72" t="s">
        <v>326</v>
      </c>
      <c r="C91" s="23">
        <v>24000</v>
      </c>
      <c r="D91" s="87"/>
      <c r="G91" s="81"/>
      <c r="H91" s="82"/>
      <c r="I91" s="83">
        <f>SUM(I84:I90)</f>
        <v>757316.5</v>
      </c>
      <c r="J91" s="84"/>
    </row>
    <row r="92" spans="1:10" ht="15.75" customHeight="1" x14ac:dyDescent="0.25">
      <c r="A92" s="504" t="s">
        <v>327</v>
      </c>
      <c r="B92" s="72" t="s">
        <v>328</v>
      </c>
      <c r="C92" s="23">
        <v>400</v>
      </c>
      <c r="D92" s="87" t="s">
        <v>329</v>
      </c>
    </row>
    <row r="93" spans="1:10" ht="15.75" customHeight="1" x14ac:dyDescent="0.25">
      <c r="A93" s="468"/>
      <c r="B93" s="72" t="s">
        <v>330</v>
      </c>
      <c r="C93" s="23">
        <v>150</v>
      </c>
      <c r="D93" s="87"/>
    </row>
    <row r="94" spans="1:10" ht="15.75" customHeight="1" x14ac:dyDescent="0.25">
      <c r="A94" s="448"/>
      <c r="B94" s="72" t="s">
        <v>262</v>
      </c>
      <c r="C94" s="23">
        <v>5000</v>
      </c>
      <c r="D94" s="87" t="s">
        <v>331</v>
      </c>
    </row>
    <row r="95" spans="1:10" ht="15.75" customHeight="1" x14ac:dyDescent="0.25">
      <c r="A95" s="22" t="s">
        <v>332</v>
      </c>
      <c r="B95" s="72" t="s">
        <v>333</v>
      </c>
      <c r="C95" s="23">
        <v>2000</v>
      </c>
      <c r="D95" s="87"/>
    </row>
    <row r="96" spans="1:10" ht="15.75" customHeight="1" x14ac:dyDescent="0.25">
      <c r="A96" s="22" t="s">
        <v>334</v>
      </c>
      <c r="B96" s="72" t="s">
        <v>335</v>
      </c>
      <c r="C96" s="23">
        <v>22000</v>
      </c>
      <c r="D96" s="87"/>
    </row>
    <row r="97" spans="1:4" ht="15.75" customHeight="1" x14ac:dyDescent="0.25">
      <c r="A97" s="504" t="s">
        <v>336</v>
      </c>
      <c r="B97" s="72" t="s">
        <v>262</v>
      </c>
      <c r="C97" s="23">
        <v>16800</v>
      </c>
      <c r="D97" s="87"/>
    </row>
    <row r="98" spans="1:4" ht="15.75" customHeight="1" x14ac:dyDescent="0.25">
      <c r="A98" s="448"/>
      <c r="B98" s="72" t="s">
        <v>337</v>
      </c>
      <c r="C98" s="23">
        <v>20000</v>
      </c>
      <c r="D98" s="87"/>
    </row>
    <row r="99" spans="1:4" ht="15.75" customHeight="1" x14ac:dyDescent="0.25">
      <c r="A99" s="22" t="s">
        <v>338</v>
      </c>
      <c r="B99" s="72" t="s">
        <v>339</v>
      </c>
      <c r="C99" s="23">
        <v>20000</v>
      </c>
      <c r="D99" s="87"/>
    </row>
    <row r="100" spans="1:4" ht="15.75" customHeight="1" x14ac:dyDescent="0.25">
      <c r="A100" s="504" t="s">
        <v>340</v>
      </c>
      <c r="B100" s="72" t="s">
        <v>321</v>
      </c>
      <c r="C100" s="23">
        <v>12000</v>
      </c>
      <c r="D100" s="87" t="s">
        <v>322</v>
      </c>
    </row>
    <row r="101" spans="1:4" ht="15.75" customHeight="1" x14ac:dyDescent="0.25">
      <c r="A101" s="468"/>
      <c r="B101" s="72" t="s">
        <v>341</v>
      </c>
      <c r="C101" s="23">
        <v>8000</v>
      </c>
      <c r="D101" s="87" t="s">
        <v>322</v>
      </c>
    </row>
    <row r="102" spans="1:4" ht="15.75" customHeight="1" x14ac:dyDescent="0.25">
      <c r="A102" s="448"/>
      <c r="B102" s="72" t="s">
        <v>262</v>
      </c>
      <c r="C102" s="23">
        <v>12300</v>
      </c>
      <c r="D102" s="87"/>
    </row>
    <row r="103" spans="1:4" ht="15.75" customHeight="1" x14ac:dyDescent="0.25">
      <c r="A103" s="22" t="s">
        <v>342</v>
      </c>
      <c r="B103" s="72" t="s">
        <v>343</v>
      </c>
      <c r="C103" s="23">
        <v>360</v>
      </c>
      <c r="D103" s="87"/>
    </row>
    <row r="104" spans="1:4" ht="15.75" customHeight="1" x14ac:dyDescent="0.25">
      <c r="A104" s="504" t="s">
        <v>344</v>
      </c>
      <c r="B104" s="72" t="s">
        <v>345</v>
      </c>
      <c r="C104" s="23">
        <v>20000</v>
      </c>
      <c r="D104" s="87" t="s">
        <v>322</v>
      </c>
    </row>
    <row r="105" spans="1:4" ht="15.75" customHeight="1" x14ac:dyDescent="0.25">
      <c r="A105" s="468"/>
      <c r="B105" s="72" t="s">
        <v>283</v>
      </c>
      <c r="C105" s="23">
        <v>50000</v>
      </c>
      <c r="D105" s="87"/>
    </row>
    <row r="106" spans="1:4" ht="15.75" customHeight="1" x14ac:dyDescent="0.25">
      <c r="A106" s="448"/>
      <c r="B106" s="72" t="s">
        <v>346</v>
      </c>
      <c r="C106" s="23">
        <v>3800</v>
      </c>
      <c r="D106" s="87"/>
    </row>
    <row r="107" spans="1:4" ht="15.75" customHeight="1" x14ac:dyDescent="0.25">
      <c r="A107" s="504" t="s">
        <v>347</v>
      </c>
      <c r="B107" s="72" t="s">
        <v>348</v>
      </c>
      <c r="C107" s="23">
        <v>240</v>
      </c>
      <c r="D107" s="87"/>
    </row>
    <row r="108" spans="1:4" ht="15.75" customHeight="1" x14ac:dyDescent="0.25">
      <c r="A108" s="468"/>
      <c r="B108" s="72" t="s">
        <v>349</v>
      </c>
      <c r="C108" s="23">
        <v>2000</v>
      </c>
      <c r="D108" s="87"/>
    </row>
    <row r="109" spans="1:4" ht="15.75" customHeight="1" x14ac:dyDescent="0.25">
      <c r="A109" s="468"/>
      <c r="B109" s="72" t="s">
        <v>350</v>
      </c>
      <c r="C109" s="23">
        <v>22450</v>
      </c>
      <c r="D109" s="87"/>
    </row>
    <row r="110" spans="1:4" ht="15.75" customHeight="1" x14ac:dyDescent="0.25">
      <c r="A110" s="448"/>
      <c r="B110" s="72" t="s">
        <v>351</v>
      </c>
      <c r="C110" s="23">
        <v>20000</v>
      </c>
      <c r="D110" s="87"/>
    </row>
    <row r="111" spans="1:4" ht="15.75" customHeight="1" x14ac:dyDescent="0.25">
      <c r="A111" s="504" t="s">
        <v>352</v>
      </c>
      <c r="B111" s="72" t="s">
        <v>262</v>
      </c>
      <c r="C111" s="23">
        <v>11600</v>
      </c>
      <c r="D111" s="87"/>
    </row>
    <row r="112" spans="1:4" ht="15.75" customHeight="1" x14ac:dyDescent="0.25">
      <c r="A112" s="448"/>
      <c r="B112" s="72" t="s">
        <v>353</v>
      </c>
      <c r="C112" s="23">
        <v>10000</v>
      </c>
      <c r="D112" s="87"/>
    </row>
    <row r="113" spans="1:4" ht="15.75" customHeight="1" x14ac:dyDescent="0.25">
      <c r="A113" s="504" t="s">
        <v>354</v>
      </c>
      <c r="B113" s="72" t="s">
        <v>355</v>
      </c>
      <c r="C113" s="23">
        <v>2000</v>
      </c>
      <c r="D113" s="87" t="s">
        <v>311</v>
      </c>
    </row>
    <row r="114" spans="1:4" ht="15.75" customHeight="1" x14ac:dyDescent="0.25">
      <c r="A114" s="468"/>
      <c r="B114" s="72" t="s">
        <v>356</v>
      </c>
      <c r="C114" s="23">
        <v>12796</v>
      </c>
      <c r="D114" s="87"/>
    </row>
    <row r="115" spans="1:4" ht="15.75" customHeight="1" x14ac:dyDescent="0.25">
      <c r="A115" s="468"/>
      <c r="B115" s="72" t="s">
        <v>357</v>
      </c>
      <c r="C115" s="23">
        <v>200</v>
      </c>
      <c r="D115" s="87" t="s">
        <v>329</v>
      </c>
    </row>
    <row r="116" spans="1:4" ht="15.75" customHeight="1" x14ac:dyDescent="0.25">
      <c r="A116" s="468"/>
      <c r="B116" s="72" t="s">
        <v>357</v>
      </c>
      <c r="C116" s="23">
        <v>100</v>
      </c>
      <c r="D116" s="87" t="s">
        <v>358</v>
      </c>
    </row>
    <row r="117" spans="1:4" ht="15.75" customHeight="1" x14ac:dyDescent="0.25">
      <c r="A117" s="448"/>
      <c r="B117" s="72" t="s">
        <v>359</v>
      </c>
      <c r="C117" s="23">
        <v>2000</v>
      </c>
      <c r="D117" s="87" t="s">
        <v>360</v>
      </c>
    </row>
    <row r="118" spans="1:4" ht="15.75" customHeight="1" x14ac:dyDescent="0.25">
      <c r="A118" s="504" t="s">
        <v>361</v>
      </c>
      <c r="B118" s="72" t="s">
        <v>362</v>
      </c>
      <c r="C118" s="23">
        <v>250</v>
      </c>
      <c r="D118" s="87"/>
    </row>
    <row r="119" spans="1:4" ht="15.75" customHeight="1" x14ac:dyDescent="0.25">
      <c r="A119" s="468"/>
      <c r="B119" s="72" t="s">
        <v>363</v>
      </c>
      <c r="C119" s="23">
        <v>170</v>
      </c>
      <c r="D119" s="87"/>
    </row>
    <row r="120" spans="1:4" ht="15.75" customHeight="1" x14ac:dyDescent="0.25">
      <c r="A120" s="468"/>
      <c r="B120" s="72" t="s">
        <v>364</v>
      </c>
      <c r="C120" s="23">
        <v>140</v>
      </c>
      <c r="D120" s="87"/>
    </row>
    <row r="121" spans="1:4" ht="15.75" customHeight="1" x14ac:dyDescent="0.25">
      <c r="A121" s="468"/>
      <c r="B121" s="72" t="s">
        <v>262</v>
      </c>
      <c r="C121" s="23">
        <v>21200</v>
      </c>
      <c r="D121" s="87"/>
    </row>
    <row r="122" spans="1:4" ht="15.75" customHeight="1" x14ac:dyDescent="0.25">
      <c r="A122" s="448"/>
      <c r="B122" s="72" t="s">
        <v>365</v>
      </c>
      <c r="C122" s="23">
        <v>1150</v>
      </c>
      <c r="D122" s="87"/>
    </row>
    <row r="123" spans="1:4" ht="15.75" customHeight="1" x14ac:dyDescent="0.25">
      <c r="A123" s="504" t="s">
        <v>366</v>
      </c>
      <c r="B123" s="72" t="s">
        <v>364</v>
      </c>
      <c r="C123" s="23">
        <v>120</v>
      </c>
      <c r="D123" s="87"/>
    </row>
    <row r="124" spans="1:4" ht="15.75" customHeight="1" x14ac:dyDescent="0.25">
      <c r="A124" s="448"/>
      <c r="B124" s="72" t="s">
        <v>321</v>
      </c>
      <c r="C124" s="23">
        <v>15000</v>
      </c>
      <c r="D124" s="87" t="s">
        <v>322</v>
      </c>
    </row>
    <row r="125" spans="1:4" ht="15.75" customHeight="1" x14ac:dyDescent="0.25">
      <c r="A125" s="504" t="s">
        <v>367</v>
      </c>
      <c r="B125" s="72" t="s">
        <v>364</v>
      </c>
      <c r="C125" s="23">
        <v>120</v>
      </c>
      <c r="D125" s="87"/>
    </row>
    <row r="126" spans="1:4" ht="15.75" customHeight="1" x14ac:dyDescent="0.25">
      <c r="A126" s="468"/>
      <c r="B126" s="72" t="s">
        <v>368</v>
      </c>
      <c r="C126" s="23">
        <v>600</v>
      </c>
      <c r="D126" s="87"/>
    </row>
    <row r="127" spans="1:4" ht="15.75" customHeight="1" x14ac:dyDescent="0.25">
      <c r="A127" s="468"/>
      <c r="B127" s="72" t="s">
        <v>369</v>
      </c>
      <c r="C127" s="23">
        <v>2800</v>
      </c>
      <c r="D127" s="87"/>
    </row>
    <row r="128" spans="1:4" ht="15.75" customHeight="1" x14ac:dyDescent="0.25">
      <c r="A128" s="468"/>
      <c r="B128" s="72" t="s">
        <v>370</v>
      </c>
      <c r="C128" s="23">
        <v>600</v>
      </c>
      <c r="D128" s="87"/>
    </row>
    <row r="129" spans="1:4" ht="15.75" customHeight="1" x14ac:dyDescent="0.25">
      <c r="A129" s="448"/>
      <c r="B129" s="72" t="s">
        <v>233</v>
      </c>
      <c r="C129" s="23">
        <v>5850</v>
      </c>
      <c r="D129" s="87"/>
    </row>
    <row r="130" spans="1:4" ht="15.75" customHeight="1" x14ac:dyDescent="0.25">
      <c r="A130" s="504" t="s">
        <v>371</v>
      </c>
      <c r="B130" s="72" t="s">
        <v>364</v>
      </c>
      <c r="C130" s="23">
        <v>500</v>
      </c>
      <c r="D130" s="87"/>
    </row>
    <row r="131" spans="1:4" ht="15.75" customHeight="1" x14ac:dyDescent="0.25">
      <c r="A131" s="468"/>
      <c r="B131" s="72" t="s">
        <v>372</v>
      </c>
      <c r="C131" s="23">
        <v>9980</v>
      </c>
      <c r="D131" s="87"/>
    </row>
    <row r="132" spans="1:4" ht="15.75" customHeight="1" x14ac:dyDescent="0.25">
      <c r="A132" s="448"/>
      <c r="B132" s="72" t="s">
        <v>349</v>
      </c>
      <c r="C132" s="23">
        <v>2000</v>
      </c>
      <c r="D132" s="87"/>
    </row>
    <row r="133" spans="1:4" ht="15.75" customHeight="1" x14ac:dyDescent="0.25">
      <c r="A133" s="504" t="s">
        <v>373</v>
      </c>
      <c r="B133" s="72" t="s">
        <v>364</v>
      </c>
      <c r="C133" s="23">
        <v>200</v>
      </c>
      <c r="D133" s="87"/>
    </row>
    <row r="134" spans="1:4" ht="15.75" customHeight="1" x14ac:dyDescent="0.25">
      <c r="A134" s="468"/>
      <c r="B134" s="72" t="s">
        <v>271</v>
      </c>
      <c r="C134" s="23">
        <v>400</v>
      </c>
      <c r="D134" s="87" t="s">
        <v>322</v>
      </c>
    </row>
    <row r="135" spans="1:4" ht="15.75" customHeight="1" x14ac:dyDescent="0.25">
      <c r="A135" s="448"/>
      <c r="B135" s="72" t="s">
        <v>262</v>
      </c>
      <c r="C135" s="23">
        <v>19800</v>
      </c>
      <c r="D135" s="87"/>
    </row>
    <row r="136" spans="1:4" ht="15.75" customHeight="1" x14ac:dyDescent="0.25">
      <c r="A136" s="504" t="s">
        <v>374</v>
      </c>
      <c r="B136" s="72" t="s">
        <v>375</v>
      </c>
      <c r="C136" s="23">
        <v>23000</v>
      </c>
      <c r="D136" s="87"/>
    </row>
    <row r="137" spans="1:4" ht="15.75" customHeight="1" x14ac:dyDescent="0.25">
      <c r="A137" s="448"/>
      <c r="B137" s="72" t="s">
        <v>376</v>
      </c>
      <c r="C137" s="23">
        <v>10000</v>
      </c>
      <c r="D137" s="87"/>
    </row>
    <row r="138" spans="1:4" ht="15.75" customHeight="1" x14ac:dyDescent="0.25">
      <c r="A138" s="504" t="s">
        <v>377</v>
      </c>
      <c r="B138" s="72" t="s">
        <v>376</v>
      </c>
      <c r="C138" s="23">
        <v>10000</v>
      </c>
      <c r="D138" s="87" t="s">
        <v>378</v>
      </c>
    </row>
    <row r="139" spans="1:4" ht="15.75" customHeight="1" x14ac:dyDescent="0.25">
      <c r="A139" s="468"/>
      <c r="B139" s="72" t="s">
        <v>379</v>
      </c>
      <c r="C139" s="23">
        <v>400</v>
      </c>
      <c r="D139" s="87"/>
    </row>
    <row r="140" spans="1:4" ht="15.75" customHeight="1" x14ac:dyDescent="0.25">
      <c r="A140" s="448"/>
      <c r="B140" s="72" t="s">
        <v>380</v>
      </c>
      <c r="C140" s="23">
        <v>28600</v>
      </c>
      <c r="D140" s="87"/>
    </row>
    <row r="141" spans="1:4" ht="15.75" customHeight="1" x14ac:dyDescent="0.25">
      <c r="A141" s="22" t="s">
        <v>381</v>
      </c>
      <c r="B141" s="72" t="s">
        <v>382</v>
      </c>
      <c r="C141" s="23">
        <v>9200</v>
      </c>
      <c r="D141" s="87"/>
    </row>
    <row r="142" spans="1:4" ht="15.75" customHeight="1" x14ac:dyDescent="0.25">
      <c r="A142" s="504" t="s">
        <v>383</v>
      </c>
      <c r="B142" s="72" t="s">
        <v>384</v>
      </c>
      <c r="C142" s="23">
        <v>15000</v>
      </c>
      <c r="D142" s="87" t="s">
        <v>322</v>
      </c>
    </row>
    <row r="143" spans="1:4" ht="15.75" customHeight="1" x14ac:dyDescent="0.25">
      <c r="A143" s="448"/>
      <c r="B143" s="72" t="s">
        <v>346</v>
      </c>
      <c r="C143" s="23">
        <v>700</v>
      </c>
      <c r="D143" s="87"/>
    </row>
    <row r="144" spans="1:4" ht="15.75" customHeight="1" x14ac:dyDescent="0.25">
      <c r="A144" s="504" t="s">
        <v>385</v>
      </c>
      <c r="B144" s="72" t="s">
        <v>262</v>
      </c>
      <c r="C144" s="23">
        <v>4500</v>
      </c>
      <c r="D144" s="87"/>
    </row>
    <row r="145" spans="1:4" ht="15.75" customHeight="1" x14ac:dyDescent="0.25">
      <c r="A145" s="448"/>
      <c r="B145" s="72" t="s">
        <v>386</v>
      </c>
      <c r="C145" s="23">
        <v>6800</v>
      </c>
      <c r="D145" s="87"/>
    </row>
    <row r="146" spans="1:4" ht="15.75" customHeight="1" x14ac:dyDescent="0.25">
      <c r="A146" s="90" t="s">
        <v>387</v>
      </c>
      <c r="B146" s="72" t="s">
        <v>388</v>
      </c>
      <c r="C146" s="23">
        <v>8200</v>
      </c>
      <c r="D146" s="87" t="s">
        <v>322</v>
      </c>
    </row>
    <row r="147" spans="1:4" ht="15.75" customHeight="1" x14ac:dyDescent="0.25">
      <c r="A147" s="504" t="s">
        <v>389</v>
      </c>
      <c r="B147" s="72" t="s">
        <v>390</v>
      </c>
      <c r="C147" s="23">
        <v>500</v>
      </c>
      <c r="D147" s="87"/>
    </row>
    <row r="148" spans="1:4" ht="15.75" customHeight="1" x14ac:dyDescent="0.25">
      <c r="A148" s="468"/>
      <c r="B148" s="72" t="s">
        <v>391</v>
      </c>
      <c r="C148" s="23">
        <v>900</v>
      </c>
      <c r="D148" s="87" t="s">
        <v>392</v>
      </c>
    </row>
    <row r="149" spans="1:4" ht="15.75" customHeight="1" x14ac:dyDescent="0.25">
      <c r="A149" s="448"/>
      <c r="B149" s="72" t="s">
        <v>393</v>
      </c>
      <c r="C149" s="23">
        <v>2000</v>
      </c>
      <c r="D149" s="87"/>
    </row>
    <row r="150" spans="1:4" ht="15.75" customHeight="1" x14ac:dyDescent="0.25">
      <c r="A150" s="90" t="s">
        <v>394</v>
      </c>
      <c r="B150" s="72" t="s">
        <v>395</v>
      </c>
      <c r="C150" s="23">
        <v>17500</v>
      </c>
      <c r="D150" s="87"/>
    </row>
    <row r="151" spans="1:4" ht="15.75" customHeight="1" x14ac:dyDescent="0.25">
      <c r="A151" s="504" t="s">
        <v>396</v>
      </c>
      <c r="B151" s="72" t="s">
        <v>397</v>
      </c>
      <c r="C151" s="23">
        <v>2150</v>
      </c>
      <c r="D151" s="87" t="s">
        <v>398</v>
      </c>
    </row>
    <row r="152" spans="1:4" ht="15.75" customHeight="1" x14ac:dyDescent="0.25">
      <c r="A152" s="468"/>
      <c r="B152" s="72" t="s">
        <v>399</v>
      </c>
      <c r="C152" s="23">
        <v>2000</v>
      </c>
      <c r="D152" s="87"/>
    </row>
    <row r="153" spans="1:4" ht="15.75" customHeight="1" x14ac:dyDescent="0.25">
      <c r="A153" s="468"/>
      <c r="B153" s="72" t="s">
        <v>400</v>
      </c>
      <c r="C153" s="23">
        <v>300</v>
      </c>
      <c r="D153" s="87"/>
    </row>
    <row r="154" spans="1:4" ht="15.75" customHeight="1" x14ac:dyDescent="0.25">
      <c r="A154" s="448"/>
      <c r="B154" s="72" t="s">
        <v>401</v>
      </c>
      <c r="C154" s="23">
        <v>1500</v>
      </c>
      <c r="D154" s="87" t="s">
        <v>322</v>
      </c>
    </row>
    <row r="155" spans="1:4" ht="15.75" customHeight="1" x14ac:dyDescent="0.25">
      <c r="A155" s="504" t="s">
        <v>402</v>
      </c>
      <c r="B155" s="72" t="s">
        <v>403</v>
      </c>
      <c r="C155" s="23">
        <v>15000</v>
      </c>
      <c r="D155" s="87"/>
    </row>
    <row r="156" spans="1:4" ht="15.75" customHeight="1" x14ac:dyDescent="0.25">
      <c r="A156" s="468"/>
      <c r="B156" s="72" t="s">
        <v>353</v>
      </c>
      <c r="C156" s="23">
        <v>10000</v>
      </c>
      <c r="D156" s="87"/>
    </row>
    <row r="157" spans="1:4" ht="15.75" customHeight="1" x14ac:dyDescent="0.25">
      <c r="A157" s="448"/>
      <c r="B157" s="72" t="s">
        <v>404</v>
      </c>
      <c r="C157" s="23">
        <v>200</v>
      </c>
      <c r="D157" s="87" t="s">
        <v>322</v>
      </c>
    </row>
    <row r="158" spans="1:4" ht="15.75" customHeight="1" x14ac:dyDescent="0.25">
      <c r="A158" s="504" t="s">
        <v>405</v>
      </c>
      <c r="B158" s="72" t="s">
        <v>406</v>
      </c>
      <c r="C158" s="23">
        <v>920</v>
      </c>
      <c r="D158" s="87"/>
    </row>
    <row r="159" spans="1:4" ht="15.75" customHeight="1" x14ac:dyDescent="0.25">
      <c r="A159" s="468"/>
      <c r="B159" s="72" t="s">
        <v>384</v>
      </c>
      <c r="C159" s="23">
        <v>15000</v>
      </c>
      <c r="D159" s="87" t="s">
        <v>322</v>
      </c>
    </row>
    <row r="160" spans="1:4" ht="15.75" customHeight="1" x14ac:dyDescent="0.25">
      <c r="A160" s="448"/>
      <c r="B160" s="72" t="s">
        <v>407</v>
      </c>
      <c r="C160" s="23">
        <v>2700</v>
      </c>
      <c r="D160" s="87"/>
    </row>
    <row r="161" spans="1:11" ht="15.75" customHeight="1" x14ac:dyDescent="0.25">
      <c r="A161" s="90"/>
      <c r="B161" s="87"/>
      <c r="C161" s="91">
        <f>SUM(C84:C160)</f>
        <v>596646</v>
      </c>
      <c r="D161" s="87"/>
    </row>
    <row r="162" spans="1:11" ht="15.75" customHeight="1" x14ac:dyDescent="0.25"/>
    <row r="163" spans="1:11" ht="15.75" customHeight="1" x14ac:dyDescent="0.25"/>
    <row r="164" spans="1:11" ht="15.75" customHeight="1" x14ac:dyDescent="0.25">
      <c r="A164" s="507" t="s">
        <v>408</v>
      </c>
      <c r="B164" s="508"/>
      <c r="C164" s="508"/>
      <c r="D164" s="509"/>
      <c r="H164" s="505" t="s">
        <v>409</v>
      </c>
      <c r="I164" s="464"/>
      <c r="J164" s="464"/>
      <c r="K164" s="465"/>
    </row>
    <row r="165" spans="1:11" ht="15.75" customHeight="1" x14ac:dyDescent="0.25">
      <c r="A165" s="1" t="s">
        <v>210</v>
      </c>
      <c r="B165" s="2" t="s">
        <v>211</v>
      </c>
      <c r="C165" s="2" t="s">
        <v>212</v>
      </c>
      <c r="D165" s="3" t="s">
        <v>213</v>
      </c>
      <c r="H165" s="47" t="s">
        <v>210</v>
      </c>
      <c r="I165" s="48" t="s">
        <v>211</v>
      </c>
      <c r="J165" s="48" t="s">
        <v>212</v>
      </c>
      <c r="K165" s="51" t="s">
        <v>213</v>
      </c>
    </row>
    <row r="166" spans="1:11" ht="15.75" customHeight="1" x14ac:dyDescent="0.25">
      <c r="A166" s="447">
        <v>45809</v>
      </c>
      <c r="B166" s="92" t="s">
        <v>410</v>
      </c>
      <c r="C166" s="29">
        <v>3800</v>
      </c>
      <c r="D166" s="90"/>
      <c r="H166" s="74">
        <v>45821</v>
      </c>
      <c r="I166" s="75" t="s">
        <v>411</v>
      </c>
      <c r="J166" s="13">
        <v>39000</v>
      </c>
      <c r="K166" s="76"/>
    </row>
    <row r="167" spans="1:11" ht="15.75" customHeight="1" x14ac:dyDescent="0.25">
      <c r="A167" s="468"/>
      <c r="B167" s="72" t="s">
        <v>412</v>
      </c>
      <c r="C167" s="23">
        <v>800</v>
      </c>
      <c r="D167" s="22" t="s">
        <v>413</v>
      </c>
      <c r="H167" s="77">
        <v>45828</v>
      </c>
      <c r="I167" s="78" t="s">
        <v>225</v>
      </c>
      <c r="J167" s="23">
        <v>100</v>
      </c>
      <c r="K167" s="79"/>
    </row>
    <row r="168" spans="1:11" ht="15.75" customHeight="1" x14ac:dyDescent="0.25">
      <c r="A168" s="448"/>
      <c r="B168" s="72" t="s">
        <v>410</v>
      </c>
      <c r="C168" s="23">
        <v>600</v>
      </c>
      <c r="D168" s="22"/>
      <c r="H168" s="93">
        <v>45830</v>
      </c>
      <c r="I168" s="78" t="s">
        <v>222</v>
      </c>
      <c r="J168" s="23">
        <v>15610</v>
      </c>
      <c r="K168" s="79"/>
    </row>
    <row r="169" spans="1:11" ht="15.75" customHeight="1" x14ac:dyDescent="0.25">
      <c r="A169" s="31">
        <v>45810</v>
      </c>
      <c r="B169" s="72" t="s">
        <v>414</v>
      </c>
      <c r="C169" s="23">
        <v>60000</v>
      </c>
      <c r="D169" s="22" t="s">
        <v>413</v>
      </c>
      <c r="H169" s="77">
        <v>45834</v>
      </c>
      <c r="I169" s="78" t="s">
        <v>227</v>
      </c>
      <c r="J169" s="23">
        <v>218827</v>
      </c>
      <c r="K169" s="79"/>
    </row>
    <row r="170" spans="1:11" ht="15.75" customHeight="1" x14ac:dyDescent="0.25">
      <c r="A170" s="467">
        <v>45812</v>
      </c>
      <c r="B170" s="72" t="s">
        <v>415</v>
      </c>
      <c r="C170" s="23">
        <v>25000</v>
      </c>
      <c r="D170" s="22"/>
      <c r="H170" s="77"/>
      <c r="I170" s="78"/>
      <c r="J170" s="23"/>
      <c r="K170" s="79"/>
    </row>
    <row r="171" spans="1:11" ht="15.75" customHeight="1" x14ac:dyDescent="0.25">
      <c r="A171" s="468"/>
      <c r="B171" s="72" t="s">
        <v>410</v>
      </c>
      <c r="C171" s="23">
        <v>15300</v>
      </c>
      <c r="D171" s="22"/>
      <c r="H171" s="94"/>
      <c r="I171" s="78"/>
      <c r="J171" s="23"/>
      <c r="K171" s="79"/>
    </row>
    <row r="172" spans="1:11" ht="15.75" customHeight="1" x14ac:dyDescent="0.25">
      <c r="A172" s="468"/>
      <c r="B172" s="72" t="s">
        <v>410</v>
      </c>
      <c r="C172" s="23">
        <v>11400</v>
      </c>
      <c r="D172" s="22"/>
      <c r="H172" s="77"/>
      <c r="I172" s="78"/>
      <c r="J172" s="34"/>
      <c r="K172" s="79"/>
    </row>
    <row r="173" spans="1:11" ht="15.75" customHeight="1" x14ac:dyDescent="0.25">
      <c r="A173" s="468"/>
      <c r="B173" s="72" t="s">
        <v>259</v>
      </c>
      <c r="C173" s="23">
        <v>2000</v>
      </c>
      <c r="D173" s="22"/>
      <c r="H173" s="81"/>
      <c r="I173" s="82"/>
      <c r="J173" s="83">
        <f>SUM(J166:J172)</f>
        <v>273537</v>
      </c>
      <c r="K173" s="84"/>
    </row>
    <row r="174" spans="1:11" ht="15.75" customHeight="1" x14ac:dyDescent="0.25">
      <c r="A174" s="468"/>
      <c r="B174" s="72" t="s">
        <v>416</v>
      </c>
      <c r="C174" s="23">
        <v>450</v>
      </c>
      <c r="D174" s="22"/>
    </row>
    <row r="175" spans="1:11" ht="15.75" customHeight="1" x14ac:dyDescent="0.25">
      <c r="A175" s="468"/>
      <c r="B175" s="72" t="s">
        <v>410</v>
      </c>
      <c r="C175" s="23">
        <v>900</v>
      </c>
      <c r="D175" s="22"/>
    </row>
    <row r="176" spans="1:11" ht="15.75" customHeight="1" x14ac:dyDescent="0.25">
      <c r="A176" s="468"/>
      <c r="B176" s="72" t="s">
        <v>417</v>
      </c>
      <c r="C176" s="23">
        <v>3400</v>
      </c>
      <c r="D176" s="22"/>
    </row>
    <row r="177" spans="1:4" ht="15.75" customHeight="1" x14ac:dyDescent="0.25">
      <c r="A177" s="448"/>
      <c r="B177" s="72" t="s">
        <v>410</v>
      </c>
      <c r="C177" s="23">
        <v>600</v>
      </c>
      <c r="D177" s="22"/>
    </row>
    <row r="178" spans="1:4" ht="15.75" customHeight="1" x14ac:dyDescent="0.25">
      <c r="A178" s="467">
        <v>45813</v>
      </c>
      <c r="B178" s="72" t="s">
        <v>410</v>
      </c>
      <c r="C178" s="23">
        <v>10140</v>
      </c>
      <c r="D178" s="22"/>
    </row>
    <row r="179" spans="1:4" ht="15.75" customHeight="1" x14ac:dyDescent="0.25">
      <c r="A179" s="468"/>
      <c r="B179" s="72" t="s">
        <v>349</v>
      </c>
      <c r="C179" s="23">
        <v>1000</v>
      </c>
      <c r="D179" s="22"/>
    </row>
    <row r="180" spans="1:4" ht="15.75" customHeight="1" x14ac:dyDescent="0.25">
      <c r="A180" s="448"/>
      <c r="B180" s="72" t="s">
        <v>418</v>
      </c>
      <c r="C180" s="23">
        <v>500</v>
      </c>
      <c r="D180" s="22"/>
    </row>
    <row r="181" spans="1:4" ht="15.75" customHeight="1" x14ac:dyDescent="0.25">
      <c r="A181" s="467">
        <v>45814</v>
      </c>
      <c r="B181" s="72" t="s">
        <v>419</v>
      </c>
      <c r="C181" s="23">
        <v>50000</v>
      </c>
      <c r="D181" s="22"/>
    </row>
    <row r="182" spans="1:4" ht="15.75" customHeight="1" x14ac:dyDescent="0.25">
      <c r="A182" s="468"/>
      <c r="B182" s="72" t="s">
        <v>410</v>
      </c>
      <c r="C182" s="23">
        <v>600</v>
      </c>
      <c r="D182" s="22"/>
    </row>
    <row r="183" spans="1:4" ht="15.75" customHeight="1" x14ac:dyDescent="0.25">
      <c r="A183" s="468"/>
      <c r="B183" s="72" t="s">
        <v>420</v>
      </c>
      <c r="C183" s="23">
        <v>150</v>
      </c>
      <c r="D183" s="22"/>
    </row>
    <row r="184" spans="1:4" ht="15.75" customHeight="1" x14ac:dyDescent="0.25">
      <c r="A184" s="448"/>
      <c r="B184" s="72" t="s">
        <v>376</v>
      </c>
      <c r="C184" s="23">
        <v>5000</v>
      </c>
      <c r="D184" s="22"/>
    </row>
    <row r="185" spans="1:4" ht="15.75" customHeight="1" x14ac:dyDescent="0.25">
      <c r="A185" s="467">
        <v>45815</v>
      </c>
      <c r="B185" s="72" t="s">
        <v>410</v>
      </c>
      <c r="C185" s="23">
        <v>5000</v>
      </c>
      <c r="D185" s="22"/>
    </row>
    <row r="186" spans="1:4" ht="15.75" customHeight="1" x14ac:dyDescent="0.25">
      <c r="A186" s="468"/>
      <c r="B186" s="72" t="s">
        <v>410</v>
      </c>
      <c r="C186" s="23">
        <v>350</v>
      </c>
      <c r="D186" s="22"/>
    </row>
    <row r="187" spans="1:4" ht="15.75" customHeight="1" x14ac:dyDescent="0.25">
      <c r="A187" s="448"/>
      <c r="B187" s="72" t="s">
        <v>421</v>
      </c>
      <c r="C187" s="23">
        <v>700</v>
      </c>
      <c r="D187" s="22"/>
    </row>
    <row r="188" spans="1:4" ht="15.75" customHeight="1" x14ac:dyDescent="0.25">
      <c r="A188" s="467">
        <v>45817</v>
      </c>
      <c r="B188" s="72" t="s">
        <v>376</v>
      </c>
      <c r="C188" s="23">
        <v>2000</v>
      </c>
      <c r="D188" s="22"/>
    </row>
    <row r="189" spans="1:4" ht="15.75" customHeight="1" x14ac:dyDescent="0.25">
      <c r="A189" s="468"/>
      <c r="B189" s="72" t="s">
        <v>422</v>
      </c>
      <c r="C189" s="23">
        <v>5100</v>
      </c>
      <c r="D189" s="22"/>
    </row>
    <row r="190" spans="1:4" ht="15.75" customHeight="1" x14ac:dyDescent="0.25">
      <c r="A190" s="468"/>
      <c r="B190" s="72" t="s">
        <v>410</v>
      </c>
      <c r="C190" s="23">
        <v>26200</v>
      </c>
      <c r="D190" s="22"/>
    </row>
    <row r="191" spans="1:4" ht="15.75" customHeight="1" x14ac:dyDescent="0.25">
      <c r="A191" s="448"/>
      <c r="B191" s="72" t="s">
        <v>423</v>
      </c>
      <c r="C191" s="23">
        <v>250</v>
      </c>
      <c r="D191" s="22"/>
    </row>
    <row r="192" spans="1:4" ht="15.75" customHeight="1" x14ac:dyDescent="0.25">
      <c r="A192" s="467">
        <v>45818</v>
      </c>
      <c r="B192" s="72" t="s">
        <v>410</v>
      </c>
      <c r="C192" s="23">
        <v>600</v>
      </c>
      <c r="D192" s="22"/>
    </row>
    <row r="193" spans="1:4" ht="15.75" customHeight="1" x14ac:dyDescent="0.25">
      <c r="A193" s="448"/>
      <c r="B193" s="72" t="s">
        <v>410</v>
      </c>
      <c r="C193" s="23">
        <v>2980</v>
      </c>
      <c r="D193" s="22"/>
    </row>
    <row r="194" spans="1:4" ht="15.75" customHeight="1" x14ac:dyDescent="0.25">
      <c r="A194" s="467">
        <v>45819</v>
      </c>
      <c r="B194" s="72" t="s">
        <v>424</v>
      </c>
      <c r="C194" s="23">
        <v>735</v>
      </c>
      <c r="D194" s="22"/>
    </row>
    <row r="195" spans="1:4" ht="15.75" customHeight="1" x14ac:dyDescent="0.25">
      <c r="A195" s="468"/>
      <c r="B195" s="72" t="s">
        <v>425</v>
      </c>
      <c r="C195" s="23">
        <v>1000</v>
      </c>
      <c r="D195" s="22"/>
    </row>
    <row r="196" spans="1:4" ht="15.75" customHeight="1" x14ac:dyDescent="0.25">
      <c r="A196" s="468"/>
      <c r="B196" s="72" t="s">
        <v>410</v>
      </c>
      <c r="C196" s="23">
        <v>3000</v>
      </c>
      <c r="D196" s="22"/>
    </row>
    <row r="197" spans="1:4" ht="15.75" customHeight="1" x14ac:dyDescent="0.25">
      <c r="A197" s="468"/>
      <c r="B197" s="72" t="s">
        <v>349</v>
      </c>
      <c r="C197" s="23">
        <v>1000</v>
      </c>
      <c r="D197" s="22"/>
    </row>
    <row r="198" spans="1:4" ht="15.75" customHeight="1" x14ac:dyDescent="0.25">
      <c r="A198" s="448"/>
      <c r="B198" s="72" t="s">
        <v>376</v>
      </c>
      <c r="C198" s="23">
        <v>10000</v>
      </c>
      <c r="D198" s="22"/>
    </row>
    <row r="199" spans="1:4" ht="15.75" customHeight="1" x14ac:dyDescent="0.25">
      <c r="A199" s="467">
        <v>45820</v>
      </c>
      <c r="B199" s="72" t="s">
        <v>426</v>
      </c>
      <c r="C199" s="23">
        <v>24500</v>
      </c>
      <c r="D199" s="22"/>
    </row>
    <row r="200" spans="1:4" ht="15.75" customHeight="1" x14ac:dyDescent="0.25">
      <c r="A200" s="468"/>
      <c r="B200" s="72" t="s">
        <v>427</v>
      </c>
      <c r="C200" s="23">
        <v>13000</v>
      </c>
      <c r="D200" s="22"/>
    </row>
    <row r="201" spans="1:4" ht="15.75" customHeight="1" x14ac:dyDescent="0.25">
      <c r="A201" s="448"/>
      <c r="B201" s="72" t="s">
        <v>428</v>
      </c>
      <c r="C201" s="23">
        <v>2000</v>
      </c>
      <c r="D201" s="22"/>
    </row>
    <row r="202" spans="1:4" ht="15.75" customHeight="1" x14ac:dyDescent="0.25">
      <c r="A202" s="467">
        <v>45821</v>
      </c>
      <c r="B202" s="72" t="s">
        <v>410</v>
      </c>
      <c r="C202" s="23">
        <v>21800</v>
      </c>
      <c r="D202" s="22"/>
    </row>
    <row r="203" spans="1:4" ht="15.75" customHeight="1" x14ac:dyDescent="0.25">
      <c r="A203" s="468"/>
      <c r="B203" s="72" t="s">
        <v>410</v>
      </c>
      <c r="C203" s="23">
        <v>1000</v>
      </c>
      <c r="D203" s="22"/>
    </row>
    <row r="204" spans="1:4" ht="15.75" customHeight="1" x14ac:dyDescent="0.25">
      <c r="A204" s="468"/>
      <c r="B204" s="72" t="s">
        <v>410</v>
      </c>
      <c r="C204" s="23">
        <v>300</v>
      </c>
      <c r="D204" s="22"/>
    </row>
    <row r="205" spans="1:4" ht="15.75" customHeight="1" x14ac:dyDescent="0.25">
      <c r="A205" s="448"/>
      <c r="B205" s="72" t="s">
        <v>410</v>
      </c>
      <c r="C205" s="23">
        <v>1400</v>
      </c>
      <c r="D205" s="22"/>
    </row>
    <row r="206" spans="1:4" ht="15.75" customHeight="1" x14ac:dyDescent="0.25">
      <c r="A206" s="467">
        <v>45825</v>
      </c>
      <c r="B206" s="72" t="s">
        <v>410</v>
      </c>
      <c r="C206" s="23">
        <v>800</v>
      </c>
      <c r="D206" s="22"/>
    </row>
    <row r="207" spans="1:4" ht="15.75" customHeight="1" x14ac:dyDescent="0.25">
      <c r="A207" s="448"/>
      <c r="B207" s="72" t="s">
        <v>393</v>
      </c>
      <c r="C207" s="23">
        <v>2000</v>
      </c>
      <c r="D207" s="22"/>
    </row>
    <row r="208" spans="1:4" ht="15.75" customHeight="1" x14ac:dyDescent="0.25">
      <c r="A208" s="467">
        <v>45826</v>
      </c>
      <c r="B208" s="72" t="s">
        <v>410</v>
      </c>
      <c r="C208" s="23">
        <v>1100</v>
      </c>
      <c r="D208" s="22"/>
    </row>
    <row r="209" spans="1:4" ht="15.75" customHeight="1" x14ac:dyDescent="0.25">
      <c r="A209" s="448"/>
      <c r="B209" s="72" t="s">
        <v>419</v>
      </c>
      <c r="C209" s="23">
        <v>250000</v>
      </c>
      <c r="D209" s="22"/>
    </row>
    <row r="210" spans="1:4" ht="15.75" customHeight="1" x14ac:dyDescent="0.25">
      <c r="A210" s="467">
        <v>45827</v>
      </c>
      <c r="B210" s="72" t="s">
        <v>410</v>
      </c>
      <c r="C210" s="23">
        <v>500</v>
      </c>
      <c r="D210" s="22"/>
    </row>
    <row r="211" spans="1:4" ht="15.75" customHeight="1" x14ac:dyDescent="0.25">
      <c r="A211" s="468"/>
      <c r="B211" s="72" t="s">
        <v>410</v>
      </c>
      <c r="C211" s="23">
        <v>1000</v>
      </c>
      <c r="D211" s="22"/>
    </row>
    <row r="212" spans="1:4" ht="15.75" customHeight="1" x14ac:dyDescent="0.25">
      <c r="A212" s="468"/>
      <c r="B212" s="72" t="s">
        <v>410</v>
      </c>
      <c r="C212" s="23">
        <v>160</v>
      </c>
      <c r="D212" s="22"/>
    </row>
    <row r="213" spans="1:4" ht="15.75" customHeight="1" x14ac:dyDescent="0.25">
      <c r="A213" s="448"/>
      <c r="B213" s="72" t="s">
        <v>230</v>
      </c>
      <c r="C213" s="23">
        <v>10000</v>
      </c>
      <c r="D213" s="22"/>
    </row>
    <row r="214" spans="1:4" ht="15.75" customHeight="1" x14ac:dyDescent="0.25">
      <c r="A214" s="467">
        <v>45828</v>
      </c>
      <c r="B214" s="72" t="s">
        <v>419</v>
      </c>
      <c r="C214" s="23">
        <v>30000</v>
      </c>
      <c r="D214" s="22"/>
    </row>
    <row r="215" spans="1:4" ht="15.75" customHeight="1" x14ac:dyDescent="0.25">
      <c r="A215" s="468"/>
      <c r="B215" s="72" t="s">
        <v>376</v>
      </c>
      <c r="C215" s="23">
        <v>30000</v>
      </c>
      <c r="D215" s="22"/>
    </row>
    <row r="216" spans="1:4" ht="15.75" customHeight="1" x14ac:dyDescent="0.25">
      <c r="A216" s="448"/>
      <c r="B216" s="72" t="s">
        <v>429</v>
      </c>
      <c r="C216" s="23">
        <v>21200</v>
      </c>
      <c r="D216" s="22"/>
    </row>
    <row r="217" spans="1:4" ht="15.75" customHeight="1" x14ac:dyDescent="0.25">
      <c r="A217" s="467">
        <v>45829</v>
      </c>
      <c r="B217" s="72" t="s">
        <v>429</v>
      </c>
      <c r="C217" s="23">
        <v>2000</v>
      </c>
      <c r="D217" s="22"/>
    </row>
    <row r="218" spans="1:4" ht="15.75" customHeight="1" x14ac:dyDescent="0.25">
      <c r="A218" s="468"/>
      <c r="B218" s="72" t="s">
        <v>410</v>
      </c>
      <c r="C218" s="23">
        <v>1375</v>
      </c>
      <c r="D218" s="22"/>
    </row>
    <row r="219" spans="1:4" ht="15.75" customHeight="1" x14ac:dyDescent="0.25">
      <c r="A219" s="468"/>
      <c r="B219" s="72" t="s">
        <v>410</v>
      </c>
      <c r="C219" s="23">
        <v>220</v>
      </c>
      <c r="D219" s="22"/>
    </row>
    <row r="220" spans="1:4" ht="15.75" customHeight="1" x14ac:dyDescent="0.25">
      <c r="A220" s="448"/>
      <c r="B220" s="72" t="s">
        <v>259</v>
      </c>
      <c r="C220" s="23">
        <v>2000</v>
      </c>
      <c r="D220" s="22"/>
    </row>
    <row r="221" spans="1:4" ht="15.75" customHeight="1" x14ac:dyDescent="0.25">
      <c r="A221" s="467">
        <v>45830</v>
      </c>
      <c r="B221" s="72" t="s">
        <v>410</v>
      </c>
      <c r="C221" s="23">
        <v>6150</v>
      </c>
      <c r="D221" s="22"/>
    </row>
    <row r="222" spans="1:4" ht="15.75" customHeight="1" x14ac:dyDescent="0.25">
      <c r="A222" s="468"/>
      <c r="B222" s="72" t="s">
        <v>410</v>
      </c>
      <c r="C222" s="23">
        <v>13600</v>
      </c>
      <c r="D222" s="22"/>
    </row>
    <row r="223" spans="1:4" ht="15.75" customHeight="1" x14ac:dyDescent="0.25">
      <c r="A223" s="468"/>
      <c r="B223" s="72" t="s">
        <v>410</v>
      </c>
      <c r="C223" s="23">
        <v>4000</v>
      </c>
      <c r="D223" s="22"/>
    </row>
    <row r="224" spans="1:4" ht="15.75" customHeight="1" x14ac:dyDescent="0.25">
      <c r="A224" s="468"/>
      <c r="B224" s="72" t="s">
        <v>410</v>
      </c>
      <c r="C224" s="23">
        <v>6900</v>
      </c>
      <c r="D224" s="22"/>
    </row>
    <row r="225" spans="1:4" ht="15.75" customHeight="1" x14ac:dyDescent="0.25">
      <c r="A225" s="468"/>
      <c r="B225" s="72" t="s">
        <v>410</v>
      </c>
      <c r="C225" s="23">
        <v>1200</v>
      </c>
      <c r="D225" s="22"/>
    </row>
    <row r="226" spans="1:4" ht="15.75" customHeight="1" x14ac:dyDescent="0.25">
      <c r="A226" s="448"/>
      <c r="B226" s="72" t="s">
        <v>410</v>
      </c>
      <c r="C226" s="23">
        <v>280</v>
      </c>
      <c r="D226" s="22"/>
    </row>
    <row r="227" spans="1:4" ht="15.75" customHeight="1" x14ac:dyDescent="0.25">
      <c r="A227" s="467">
        <v>45832</v>
      </c>
      <c r="B227" s="72" t="s">
        <v>410</v>
      </c>
      <c r="C227" s="23">
        <v>4000</v>
      </c>
      <c r="D227" s="22"/>
    </row>
    <row r="228" spans="1:4" ht="15.75" customHeight="1" x14ac:dyDescent="0.25">
      <c r="A228" s="468"/>
      <c r="B228" s="72" t="s">
        <v>393</v>
      </c>
      <c r="C228" s="23">
        <v>2000</v>
      </c>
      <c r="D228" s="22"/>
    </row>
    <row r="229" spans="1:4" ht="15.75" customHeight="1" x14ac:dyDescent="0.25">
      <c r="A229" s="468"/>
      <c r="B229" s="72" t="s">
        <v>410</v>
      </c>
      <c r="C229" s="23">
        <v>9000</v>
      </c>
      <c r="D229" s="22"/>
    </row>
    <row r="230" spans="1:4" ht="15.75" customHeight="1" x14ac:dyDescent="0.25">
      <c r="A230" s="448"/>
      <c r="B230" s="72" t="s">
        <v>410</v>
      </c>
      <c r="C230" s="23">
        <v>2830</v>
      </c>
      <c r="D230" s="22"/>
    </row>
    <row r="231" spans="1:4" ht="15.75" customHeight="1" x14ac:dyDescent="0.25">
      <c r="A231" s="31">
        <v>45833</v>
      </c>
      <c r="B231" s="72" t="s">
        <v>416</v>
      </c>
      <c r="C231" s="23">
        <v>450</v>
      </c>
      <c r="D231" s="22"/>
    </row>
    <row r="232" spans="1:4" ht="15.75" customHeight="1" x14ac:dyDescent="0.25">
      <c r="A232" s="467">
        <v>45834</v>
      </c>
      <c r="B232" s="72" t="s">
        <v>410</v>
      </c>
      <c r="C232" s="23">
        <v>16700</v>
      </c>
      <c r="D232" s="22"/>
    </row>
    <row r="233" spans="1:4" ht="15.75" customHeight="1" x14ac:dyDescent="0.25">
      <c r="A233" s="468"/>
      <c r="B233" s="72" t="s">
        <v>410</v>
      </c>
      <c r="C233" s="23">
        <v>510</v>
      </c>
      <c r="D233" s="22"/>
    </row>
    <row r="234" spans="1:4" ht="15.75" customHeight="1" x14ac:dyDescent="0.25">
      <c r="A234" s="448"/>
      <c r="B234" s="72" t="s">
        <v>376</v>
      </c>
      <c r="C234" s="23">
        <v>10100</v>
      </c>
      <c r="D234" s="22"/>
    </row>
    <row r="235" spans="1:4" ht="15.75" customHeight="1" x14ac:dyDescent="0.25">
      <c r="A235" s="467">
        <v>45836</v>
      </c>
      <c r="B235" s="72" t="s">
        <v>414</v>
      </c>
      <c r="C235" s="23">
        <v>9200</v>
      </c>
      <c r="D235" s="22" t="s">
        <v>413</v>
      </c>
    </row>
    <row r="236" spans="1:4" ht="15.75" customHeight="1" x14ac:dyDescent="0.25">
      <c r="A236" s="468"/>
      <c r="B236" s="72" t="s">
        <v>410</v>
      </c>
      <c r="C236" s="23">
        <v>5600</v>
      </c>
      <c r="D236" s="22"/>
    </row>
    <row r="237" spans="1:4" ht="15.75" customHeight="1" x14ac:dyDescent="0.25">
      <c r="A237" s="468"/>
      <c r="B237" s="72" t="s">
        <v>430</v>
      </c>
      <c r="C237" s="23">
        <v>15550</v>
      </c>
      <c r="D237" s="22"/>
    </row>
    <row r="238" spans="1:4" ht="15.75" customHeight="1" x14ac:dyDescent="0.25">
      <c r="A238" s="510"/>
      <c r="B238" s="95" t="s">
        <v>431</v>
      </c>
      <c r="C238" s="34">
        <v>9500</v>
      </c>
      <c r="D238" s="22"/>
    </row>
    <row r="239" spans="1:4" ht="15.75" customHeight="1" x14ac:dyDescent="0.25">
      <c r="A239" s="461" t="s">
        <v>83</v>
      </c>
      <c r="B239" s="465"/>
      <c r="C239" s="83">
        <f>SUM(C166:C238)</f>
        <v>784480</v>
      </c>
    </row>
    <row r="240" spans="1:4" ht="15.75" customHeight="1" x14ac:dyDescent="0.25"/>
    <row r="241" spans="1:10" ht="15.75" customHeight="1" x14ac:dyDescent="0.25">
      <c r="A241" s="507" t="s">
        <v>432</v>
      </c>
      <c r="B241" s="508"/>
      <c r="C241" s="508"/>
      <c r="D241" s="509"/>
      <c r="G241" s="517" t="s">
        <v>433</v>
      </c>
      <c r="H241" s="518"/>
      <c r="I241" s="518"/>
      <c r="J241" s="519"/>
    </row>
    <row r="242" spans="1:10" ht="15.75" customHeight="1" x14ac:dyDescent="0.25">
      <c r="A242" s="1" t="s">
        <v>210</v>
      </c>
      <c r="B242" s="2" t="s">
        <v>211</v>
      </c>
      <c r="C242" s="2" t="s">
        <v>212</v>
      </c>
      <c r="D242" s="3" t="s">
        <v>213</v>
      </c>
      <c r="G242" s="96" t="s">
        <v>210</v>
      </c>
      <c r="H242" s="97" t="s">
        <v>211</v>
      </c>
      <c r="I242" s="97" t="s">
        <v>212</v>
      </c>
      <c r="J242" s="98" t="s">
        <v>213</v>
      </c>
    </row>
    <row r="243" spans="1:10" ht="15.75" customHeight="1" x14ac:dyDescent="0.25">
      <c r="A243" s="523" t="s">
        <v>434</v>
      </c>
      <c r="B243" s="78" t="s">
        <v>230</v>
      </c>
      <c r="C243" s="99">
        <v>10000</v>
      </c>
      <c r="D243" s="78"/>
      <c r="G243" s="100">
        <v>45840</v>
      </c>
      <c r="H243" s="101" t="s">
        <v>435</v>
      </c>
      <c r="I243" s="102">
        <v>956000</v>
      </c>
      <c r="J243" s="103"/>
    </row>
    <row r="244" spans="1:10" ht="15.75" customHeight="1" x14ac:dyDescent="0.25">
      <c r="A244" s="448"/>
      <c r="B244" s="78" t="s">
        <v>436</v>
      </c>
      <c r="C244" s="99">
        <v>2000</v>
      </c>
      <c r="D244" s="78"/>
      <c r="G244" s="100">
        <v>45845</v>
      </c>
      <c r="H244" s="101" t="s">
        <v>437</v>
      </c>
      <c r="I244" s="102">
        <v>97500</v>
      </c>
      <c r="J244" s="103"/>
    </row>
    <row r="245" spans="1:10" ht="15.75" customHeight="1" x14ac:dyDescent="0.25">
      <c r="A245" s="504" t="s">
        <v>438</v>
      </c>
      <c r="B245" s="78" t="s">
        <v>439</v>
      </c>
      <c r="C245" s="99">
        <v>5000</v>
      </c>
      <c r="D245" s="78"/>
      <c r="G245" s="104">
        <v>45846</v>
      </c>
      <c r="H245" s="101" t="s">
        <v>440</v>
      </c>
      <c r="I245" s="102">
        <v>23060</v>
      </c>
      <c r="J245" s="103"/>
    </row>
    <row r="246" spans="1:10" ht="15.75" customHeight="1" x14ac:dyDescent="0.25">
      <c r="A246" s="468"/>
      <c r="B246" s="78" t="s">
        <v>441</v>
      </c>
      <c r="C246" s="99">
        <v>2000</v>
      </c>
      <c r="D246" s="78"/>
      <c r="G246" s="104">
        <v>45846</v>
      </c>
      <c r="H246" s="101" t="s">
        <v>442</v>
      </c>
      <c r="I246" s="102">
        <v>67060</v>
      </c>
      <c r="J246" s="103"/>
    </row>
    <row r="247" spans="1:10" ht="15.75" customHeight="1" x14ac:dyDescent="0.25">
      <c r="A247" s="448"/>
      <c r="B247" s="78" t="s">
        <v>443</v>
      </c>
      <c r="C247" s="99">
        <v>30000</v>
      </c>
      <c r="D247" s="78" t="s">
        <v>444</v>
      </c>
      <c r="G247" s="100">
        <v>45847</v>
      </c>
      <c r="H247" s="101" t="s">
        <v>445</v>
      </c>
      <c r="I247" s="102">
        <v>29789</v>
      </c>
      <c r="J247" s="103"/>
    </row>
    <row r="248" spans="1:10" ht="15.75" customHeight="1" x14ac:dyDescent="0.25">
      <c r="A248" s="504" t="s">
        <v>446</v>
      </c>
      <c r="B248" s="78" t="s">
        <v>359</v>
      </c>
      <c r="C248" s="99">
        <v>2000</v>
      </c>
      <c r="D248" s="78"/>
      <c r="G248" s="100">
        <v>45847</v>
      </c>
      <c r="H248" s="101" t="s">
        <v>447</v>
      </c>
      <c r="I248" s="102">
        <v>100000</v>
      </c>
      <c r="J248" s="103"/>
    </row>
    <row r="249" spans="1:10" ht="15.75" customHeight="1" x14ac:dyDescent="0.25">
      <c r="A249" s="468"/>
      <c r="B249" s="78" t="s">
        <v>448</v>
      </c>
      <c r="C249" s="99">
        <v>6000</v>
      </c>
      <c r="D249" s="78"/>
      <c r="G249" s="105">
        <v>45847</v>
      </c>
      <c r="H249" s="101" t="s">
        <v>440</v>
      </c>
      <c r="I249" s="102">
        <v>13920</v>
      </c>
      <c r="J249" s="103"/>
    </row>
    <row r="250" spans="1:10" ht="15.75" customHeight="1" x14ac:dyDescent="0.25">
      <c r="A250" s="468"/>
      <c r="B250" s="78" t="s">
        <v>449</v>
      </c>
      <c r="C250" s="99">
        <v>3498</v>
      </c>
      <c r="D250" s="78"/>
      <c r="G250" s="105">
        <v>45849</v>
      </c>
      <c r="H250" s="101" t="s">
        <v>450</v>
      </c>
      <c r="I250" s="102">
        <v>8600</v>
      </c>
      <c r="J250" s="103"/>
    </row>
    <row r="251" spans="1:10" ht="15.75" customHeight="1" x14ac:dyDescent="0.25">
      <c r="A251" s="468"/>
      <c r="B251" s="78" t="s">
        <v>451</v>
      </c>
      <c r="C251" s="99">
        <v>40000</v>
      </c>
      <c r="D251" s="78"/>
      <c r="G251" s="105">
        <v>45861</v>
      </c>
      <c r="H251" s="101" t="s">
        <v>227</v>
      </c>
      <c r="I251" s="102">
        <v>171207</v>
      </c>
      <c r="J251" s="103"/>
    </row>
    <row r="252" spans="1:10" ht="15.75" customHeight="1" x14ac:dyDescent="0.25">
      <c r="A252" s="448"/>
      <c r="B252" s="78" t="s">
        <v>452</v>
      </c>
      <c r="C252" s="99">
        <v>4800</v>
      </c>
      <c r="D252" s="78"/>
      <c r="G252" s="105">
        <v>45864</v>
      </c>
      <c r="H252" s="101" t="s">
        <v>453</v>
      </c>
      <c r="I252" s="102">
        <v>16200</v>
      </c>
      <c r="J252" s="103"/>
    </row>
    <row r="253" spans="1:10" ht="15.75" customHeight="1" x14ac:dyDescent="0.25">
      <c r="A253" s="504" t="s">
        <v>454</v>
      </c>
      <c r="B253" s="78" t="s">
        <v>455</v>
      </c>
      <c r="C253" s="99">
        <v>1900</v>
      </c>
      <c r="D253" s="78"/>
      <c r="G253" s="105">
        <v>45867</v>
      </c>
      <c r="H253" s="101" t="s">
        <v>222</v>
      </c>
      <c r="I253" s="102">
        <v>54905</v>
      </c>
      <c r="J253" s="103"/>
    </row>
    <row r="254" spans="1:10" ht="15.75" customHeight="1" x14ac:dyDescent="0.25">
      <c r="A254" s="448"/>
      <c r="B254" s="78" t="s">
        <v>384</v>
      </c>
      <c r="C254" s="99">
        <v>15000</v>
      </c>
      <c r="D254" s="78"/>
      <c r="G254" s="106">
        <v>45869</v>
      </c>
      <c r="H254" s="107" t="s">
        <v>456</v>
      </c>
      <c r="I254" s="108">
        <v>11.8</v>
      </c>
      <c r="J254" s="109"/>
    </row>
    <row r="255" spans="1:10" ht="15.75" customHeight="1" x14ac:dyDescent="0.25">
      <c r="A255" s="504" t="s">
        <v>457</v>
      </c>
      <c r="B255" s="78" t="s">
        <v>458</v>
      </c>
      <c r="C255" s="99">
        <v>10000</v>
      </c>
      <c r="D255" s="78"/>
      <c r="G255" s="110"/>
      <c r="H255" s="109"/>
      <c r="I255" s="111">
        <v>1538252.8</v>
      </c>
      <c r="J255" s="109"/>
    </row>
    <row r="256" spans="1:10" ht="15.75" customHeight="1" x14ac:dyDescent="0.25">
      <c r="A256" s="448"/>
      <c r="B256" s="78" t="s">
        <v>459</v>
      </c>
      <c r="C256" s="99">
        <v>30000</v>
      </c>
      <c r="D256" s="78"/>
    </row>
    <row r="257" spans="1:4" ht="15.75" customHeight="1" x14ac:dyDescent="0.25">
      <c r="A257" s="22" t="s">
        <v>460</v>
      </c>
      <c r="B257" s="78" t="s">
        <v>461</v>
      </c>
      <c r="C257" s="99">
        <v>200</v>
      </c>
      <c r="D257" s="78"/>
    </row>
    <row r="258" spans="1:4" ht="15.75" customHeight="1" x14ac:dyDescent="0.25">
      <c r="A258" s="504" t="s">
        <v>462</v>
      </c>
      <c r="B258" s="78" t="s">
        <v>384</v>
      </c>
      <c r="C258" s="99">
        <v>9050</v>
      </c>
      <c r="D258" s="78"/>
    </row>
    <row r="259" spans="1:4" ht="15.75" customHeight="1" x14ac:dyDescent="0.25">
      <c r="A259" s="468"/>
      <c r="B259" s="78" t="s">
        <v>463</v>
      </c>
      <c r="C259" s="99">
        <v>900</v>
      </c>
      <c r="D259" s="78"/>
    </row>
    <row r="260" spans="1:4" ht="15.75" customHeight="1" x14ac:dyDescent="0.25">
      <c r="A260" s="468"/>
      <c r="B260" s="78" t="s">
        <v>464</v>
      </c>
      <c r="C260" s="99">
        <v>600</v>
      </c>
      <c r="D260" s="78" t="s">
        <v>465</v>
      </c>
    </row>
    <row r="261" spans="1:4" ht="15.75" customHeight="1" x14ac:dyDescent="0.25">
      <c r="A261" s="448"/>
      <c r="B261" s="78" t="s">
        <v>439</v>
      </c>
      <c r="C261" s="99">
        <v>10000</v>
      </c>
      <c r="D261" s="78"/>
    </row>
    <row r="262" spans="1:4" ht="15.75" customHeight="1" x14ac:dyDescent="0.25">
      <c r="A262" s="504" t="s">
        <v>466</v>
      </c>
      <c r="B262" s="78" t="s">
        <v>443</v>
      </c>
      <c r="C262" s="99">
        <v>30000</v>
      </c>
      <c r="D262" s="78" t="s">
        <v>467</v>
      </c>
    </row>
    <row r="263" spans="1:4" ht="15.75" customHeight="1" x14ac:dyDescent="0.25">
      <c r="A263" s="468"/>
      <c r="B263" s="78" t="s">
        <v>468</v>
      </c>
      <c r="C263" s="99">
        <v>1850</v>
      </c>
      <c r="D263" s="78"/>
    </row>
    <row r="264" spans="1:4" ht="15.75" customHeight="1" x14ac:dyDescent="0.25">
      <c r="A264" s="468"/>
      <c r="B264" s="78" t="s">
        <v>469</v>
      </c>
      <c r="C264" s="99">
        <v>2900</v>
      </c>
      <c r="D264" s="78"/>
    </row>
    <row r="265" spans="1:4" ht="15.75" customHeight="1" x14ac:dyDescent="0.25">
      <c r="A265" s="448"/>
      <c r="B265" s="78" t="s">
        <v>470</v>
      </c>
      <c r="C265" s="99">
        <v>250</v>
      </c>
      <c r="D265" s="78"/>
    </row>
    <row r="266" spans="1:4" ht="15.75" customHeight="1" x14ac:dyDescent="0.25">
      <c r="A266" s="504" t="s">
        <v>471</v>
      </c>
      <c r="B266" s="78" t="s">
        <v>384</v>
      </c>
      <c r="C266" s="99">
        <v>15000</v>
      </c>
      <c r="D266" s="78"/>
    </row>
    <row r="267" spans="1:4" ht="15.75" customHeight="1" x14ac:dyDescent="0.25">
      <c r="A267" s="448"/>
      <c r="B267" s="78" t="s">
        <v>472</v>
      </c>
      <c r="C267" s="99">
        <v>1800</v>
      </c>
      <c r="D267" s="78"/>
    </row>
    <row r="268" spans="1:4" ht="15.75" customHeight="1" x14ac:dyDescent="0.25">
      <c r="A268" s="504" t="s">
        <v>473</v>
      </c>
      <c r="B268" s="78" t="s">
        <v>384</v>
      </c>
      <c r="C268" s="99">
        <v>5000</v>
      </c>
      <c r="D268" s="78"/>
    </row>
    <row r="269" spans="1:4" ht="15.75" customHeight="1" x14ac:dyDescent="0.25">
      <c r="A269" s="468"/>
      <c r="B269" s="78" t="s">
        <v>321</v>
      </c>
      <c r="C269" s="99">
        <v>6450</v>
      </c>
      <c r="D269" s="78"/>
    </row>
    <row r="270" spans="1:4" ht="15.75" customHeight="1" x14ac:dyDescent="0.25">
      <c r="A270" s="448"/>
      <c r="B270" s="78" t="s">
        <v>474</v>
      </c>
      <c r="C270" s="99">
        <v>350</v>
      </c>
      <c r="D270" s="78"/>
    </row>
    <row r="271" spans="1:4" ht="15.75" customHeight="1" x14ac:dyDescent="0.25">
      <c r="A271" s="504" t="s">
        <v>475</v>
      </c>
      <c r="B271" s="78" t="s">
        <v>476</v>
      </c>
      <c r="C271" s="99">
        <v>4000</v>
      </c>
      <c r="D271" s="78"/>
    </row>
    <row r="272" spans="1:4" ht="15.75" customHeight="1" x14ac:dyDescent="0.25">
      <c r="A272" s="468"/>
      <c r="B272" s="78" t="s">
        <v>477</v>
      </c>
      <c r="C272" s="99">
        <v>3490</v>
      </c>
      <c r="D272" s="78"/>
    </row>
    <row r="273" spans="1:4" ht="15.75" customHeight="1" x14ac:dyDescent="0.25">
      <c r="A273" s="448"/>
      <c r="B273" s="78" t="s">
        <v>329</v>
      </c>
      <c r="C273" s="99">
        <v>150</v>
      </c>
      <c r="D273" s="78" t="s">
        <v>478</v>
      </c>
    </row>
    <row r="274" spans="1:4" ht="15.75" customHeight="1" x14ac:dyDescent="0.25">
      <c r="A274" s="504" t="s">
        <v>479</v>
      </c>
      <c r="B274" s="78" t="s">
        <v>329</v>
      </c>
      <c r="C274" s="99">
        <v>300</v>
      </c>
      <c r="D274" s="78" t="s">
        <v>480</v>
      </c>
    </row>
    <row r="275" spans="1:4" ht="15.75" customHeight="1" x14ac:dyDescent="0.25">
      <c r="A275" s="448"/>
      <c r="B275" s="78" t="s">
        <v>481</v>
      </c>
      <c r="C275" s="99">
        <v>7900</v>
      </c>
      <c r="D275" s="78"/>
    </row>
    <row r="276" spans="1:4" ht="15.75" customHeight="1" x14ac:dyDescent="0.25">
      <c r="A276" s="22" t="s">
        <v>482</v>
      </c>
      <c r="B276" s="78" t="s">
        <v>483</v>
      </c>
      <c r="C276" s="99">
        <v>1400</v>
      </c>
      <c r="D276" s="78"/>
    </row>
    <row r="277" spans="1:4" ht="15.75" customHeight="1" x14ac:dyDescent="0.25">
      <c r="A277" s="504" t="s">
        <v>484</v>
      </c>
      <c r="B277" s="78" t="s">
        <v>485</v>
      </c>
      <c r="C277" s="99">
        <v>670</v>
      </c>
      <c r="D277" s="78"/>
    </row>
    <row r="278" spans="1:4" ht="15.75" customHeight="1" x14ac:dyDescent="0.25">
      <c r="A278" s="448"/>
      <c r="B278" s="78" t="s">
        <v>486</v>
      </c>
      <c r="C278" s="99">
        <v>300</v>
      </c>
      <c r="D278" s="78"/>
    </row>
    <row r="279" spans="1:4" ht="15.75" customHeight="1" x14ac:dyDescent="0.25">
      <c r="A279" s="504" t="s">
        <v>487</v>
      </c>
      <c r="B279" s="78" t="s">
        <v>488</v>
      </c>
      <c r="C279" s="99">
        <v>1440</v>
      </c>
      <c r="D279" s="78"/>
    </row>
    <row r="280" spans="1:4" ht="15.75" customHeight="1" x14ac:dyDescent="0.25">
      <c r="A280" s="468"/>
      <c r="B280" s="78" t="s">
        <v>359</v>
      </c>
      <c r="C280" s="99">
        <v>2000</v>
      </c>
      <c r="D280" s="78"/>
    </row>
    <row r="281" spans="1:4" ht="15.75" customHeight="1" x14ac:dyDescent="0.25">
      <c r="A281" s="468"/>
      <c r="B281" s="78" t="s">
        <v>321</v>
      </c>
      <c r="C281" s="99">
        <v>500</v>
      </c>
      <c r="D281" s="78" t="s">
        <v>489</v>
      </c>
    </row>
    <row r="282" spans="1:4" ht="15.75" customHeight="1" x14ac:dyDescent="0.25">
      <c r="A282" s="468"/>
      <c r="B282" s="78" t="s">
        <v>419</v>
      </c>
      <c r="C282" s="99">
        <v>15000</v>
      </c>
      <c r="D282" s="78"/>
    </row>
    <row r="283" spans="1:4" ht="15.75" customHeight="1" x14ac:dyDescent="0.25">
      <c r="A283" s="468"/>
      <c r="B283" s="78" t="s">
        <v>321</v>
      </c>
      <c r="C283" s="99">
        <v>10500</v>
      </c>
      <c r="D283" s="78" t="s">
        <v>413</v>
      </c>
    </row>
    <row r="284" spans="1:4" ht="15.75" customHeight="1" x14ac:dyDescent="0.25">
      <c r="A284" s="448"/>
      <c r="B284" s="78" t="s">
        <v>384</v>
      </c>
      <c r="C284" s="99">
        <v>10600</v>
      </c>
      <c r="D284" s="78"/>
    </row>
    <row r="285" spans="1:4" ht="15.75" customHeight="1" x14ac:dyDescent="0.25">
      <c r="A285" s="22" t="s">
        <v>490</v>
      </c>
      <c r="B285" s="78" t="s">
        <v>491</v>
      </c>
      <c r="C285" s="99">
        <v>1840</v>
      </c>
      <c r="D285" s="78"/>
    </row>
    <row r="286" spans="1:4" ht="15.75" customHeight="1" x14ac:dyDescent="0.25">
      <c r="A286" s="22" t="s">
        <v>492</v>
      </c>
      <c r="B286" s="78" t="s">
        <v>384</v>
      </c>
      <c r="C286" s="99">
        <v>5000</v>
      </c>
      <c r="D286" s="78"/>
    </row>
    <row r="287" spans="1:4" ht="15.75" customHeight="1" x14ac:dyDescent="0.25">
      <c r="A287" s="504" t="s">
        <v>493</v>
      </c>
      <c r="B287" s="78" t="s">
        <v>494</v>
      </c>
      <c r="C287" s="99">
        <v>400</v>
      </c>
      <c r="D287" s="78"/>
    </row>
    <row r="288" spans="1:4" ht="15.75" customHeight="1" x14ac:dyDescent="0.25">
      <c r="A288" s="448"/>
      <c r="B288" s="78" t="s">
        <v>495</v>
      </c>
      <c r="C288" s="99">
        <v>2000</v>
      </c>
      <c r="D288" s="78"/>
    </row>
    <row r="289" spans="1:9" ht="15.75" customHeight="1" x14ac:dyDescent="0.25">
      <c r="A289" s="22" t="s">
        <v>496</v>
      </c>
      <c r="B289" s="78" t="s">
        <v>497</v>
      </c>
      <c r="C289" s="99">
        <v>3000</v>
      </c>
      <c r="D289" s="78"/>
    </row>
    <row r="290" spans="1:9" ht="15.75" customHeight="1" x14ac:dyDescent="0.25">
      <c r="A290" s="504" t="s">
        <v>498</v>
      </c>
      <c r="B290" s="78" t="s">
        <v>499</v>
      </c>
      <c r="C290" s="99">
        <v>3550</v>
      </c>
      <c r="D290" s="78"/>
    </row>
    <row r="291" spans="1:9" ht="15.75" customHeight="1" x14ac:dyDescent="0.25">
      <c r="A291" s="468"/>
      <c r="B291" s="78" t="s">
        <v>384</v>
      </c>
      <c r="C291" s="99">
        <v>23700</v>
      </c>
      <c r="D291" s="78"/>
    </row>
    <row r="292" spans="1:9" ht="15.75" customHeight="1" x14ac:dyDescent="0.25">
      <c r="A292" s="468"/>
      <c r="B292" s="78" t="s">
        <v>500</v>
      </c>
      <c r="C292" s="99">
        <v>100</v>
      </c>
      <c r="D292" s="78"/>
    </row>
    <row r="293" spans="1:9" ht="15.75" customHeight="1" x14ac:dyDescent="0.25">
      <c r="A293" s="448"/>
      <c r="B293" s="78" t="s">
        <v>501</v>
      </c>
      <c r="C293" s="99">
        <f>1850+320</f>
        <v>2170</v>
      </c>
      <c r="D293" s="78"/>
    </row>
    <row r="294" spans="1:9" ht="15.75" customHeight="1" x14ac:dyDescent="0.25">
      <c r="A294" s="22" t="s">
        <v>502</v>
      </c>
      <c r="B294" s="78" t="s">
        <v>501</v>
      </c>
      <c r="C294" s="99">
        <v>390</v>
      </c>
      <c r="D294" s="78"/>
    </row>
    <row r="295" spans="1:9" ht="15.75" customHeight="1" x14ac:dyDescent="0.25">
      <c r="A295" s="22" t="s">
        <v>503</v>
      </c>
      <c r="B295" s="78" t="s">
        <v>329</v>
      </c>
      <c r="C295" s="99">
        <v>150</v>
      </c>
      <c r="D295" s="78" t="s">
        <v>478</v>
      </c>
    </row>
    <row r="296" spans="1:9" ht="15.75" customHeight="1" x14ac:dyDescent="0.25">
      <c r="A296" s="33" t="s">
        <v>504</v>
      </c>
      <c r="B296" s="88" t="s">
        <v>376</v>
      </c>
      <c r="C296" s="112">
        <v>20200</v>
      </c>
      <c r="D296" s="88" t="s">
        <v>505</v>
      </c>
    </row>
    <row r="297" spans="1:9" ht="15.75" customHeight="1" x14ac:dyDescent="0.25">
      <c r="A297" s="461" t="s">
        <v>83</v>
      </c>
      <c r="B297" s="462"/>
      <c r="C297" s="113">
        <f>SUM(C243:C296)</f>
        <v>367298</v>
      </c>
      <c r="D297" s="114"/>
    </row>
    <row r="298" spans="1:9" ht="15.75" customHeight="1" x14ac:dyDescent="0.25"/>
    <row r="299" spans="1:9" ht="15.75" customHeight="1" x14ac:dyDescent="0.25">
      <c r="A299" s="514" t="s">
        <v>657</v>
      </c>
      <c r="B299" s="515"/>
      <c r="C299" s="515"/>
      <c r="D299" s="516"/>
      <c r="F299" s="520" t="s">
        <v>693</v>
      </c>
      <c r="G299" s="521"/>
      <c r="H299" s="521"/>
      <c r="I299" s="522"/>
    </row>
    <row r="300" spans="1:9" ht="15.75" customHeight="1" x14ac:dyDescent="0.25">
      <c r="A300" s="229" t="s">
        <v>658</v>
      </c>
      <c r="B300" s="230" t="s">
        <v>659</v>
      </c>
      <c r="C300" s="231" t="s">
        <v>660</v>
      </c>
      <c r="D300" s="229" t="s">
        <v>661</v>
      </c>
      <c r="F300" s="243" t="s">
        <v>658</v>
      </c>
      <c r="G300" s="244" t="s">
        <v>659</v>
      </c>
      <c r="H300" s="243" t="s">
        <v>660</v>
      </c>
      <c r="I300" s="244" t="s">
        <v>661</v>
      </c>
    </row>
    <row r="301" spans="1:9" ht="15.75" customHeight="1" x14ac:dyDescent="0.25">
      <c r="A301" s="232">
        <v>45870</v>
      </c>
      <c r="B301" s="233" t="s">
        <v>662</v>
      </c>
      <c r="C301" s="234">
        <v>10000</v>
      </c>
      <c r="D301" s="235"/>
      <c r="F301" s="250">
        <v>45876</v>
      </c>
      <c r="G301" s="245" t="s">
        <v>694</v>
      </c>
      <c r="H301" s="247">
        <v>1062</v>
      </c>
      <c r="I301" s="246"/>
    </row>
    <row r="302" spans="1:9" ht="15.75" customHeight="1" x14ac:dyDescent="0.25">
      <c r="A302" s="232">
        <v>45871</v>
      </c>
      <c r="B302" s="233" t="s">
        <v>663</v>
      </c>
      <c r="C302" s="234">
        <v>50000</v>
      </c>
      <c r="D302" s="235"/>
      <c r="F302" s="250">
        <v>45877</v>
      </c>
      <c r="G302" s="245" t="s">
        <v>671</v>
      </c>
      <c r="H302" s="247">
        <v>30000</v>
      </c>
      <c r="I302" s="245" t="s">
        <v>676</v>
      </c>
    </row>
    <row r="303" spans="1:9" ht="15.75" customHeight="1" x14ac:dyDescent="0.25">
      <c r="A303" s="511">
        <v>45872</v>
      </c>
      <c r="B303" s="233" t="s">
        <v>664</v>
      </c>
      <c r="C303" s="236">
        <v>160</v>
      </c>
      <c r="D303" s="235"/>
      <c r="F303" s="250">
        <v>45885</v>
      </c>
      <c r="G303" s="245" t="s">
        <v>695</v>
      </c>
      <c r="H303" s="248">
        <v>196445</v>
      </c>
      <c r="I303" s="246"/>
    </row>
    <row r="304" spans="1:9" ht="15.75" customHeight="1" x14ac:dyDescent="0.25">
      <c r="A304" s="511"/>
      <c r="B304" s="233" t="s">
        <v>665</v>
      </c>
      <c r="C304" s="234">
        <v>18300</v>
      </c>
      <c r="D304" s="235"/>
      <c r="F304" s="250">
        <v>45887</v>
      </c>
      <c r="G304" s="245" t="s">
        <v>696</v>
      </c>
      <c r="H304" s="247">
        <v>15930</v>
      </c>
      <c r="I304" s="246"/>
    </row>
    <row r="305" spans="1:9" ht="15.75" customHeight="1" x14ac:dyDescent="0.25">
      <c r="A305" s="232">
        <v>45873</v>
      </c>
      <c r="B305" s="233" t="s">
        <v>666</v>
      </c>
      <c r="C305" s="234">
        <v>2000</v>
      </c>
      <c r="D305" s="235"/>
      <c r="F305" s="250">
        <v>45893</v>
      </c>
      <c r="G305" s="249" t="s">
        <v>222</v>
      </c>
      <c r="H305" s="247">
        <v>53525</v>
      </c>
      <c r="I305" s="246"/>
    </row>
    <row r="306" spans="1:9" ht="15.75" customHeight="1" x14ac:dyDescent="0.25">
      <c r="A306" s="511">
        <v>45874</v>
      </c>
      <c r="B306" s="233" t="s">
        <v>667</v>
      </c>
      <c r="C306" s="234">
        <v>1770</v>
      </c>
      <c r="D306" s="235"/>
      <c r="F306" s="250">
        <v>45895</v>
      </c>
      <c r="G306" s="245" t="s">
        <v>697</v>
      </c>
      <c r="H306" s="248">
        <v>300000</v>
      </c>
      <c r="I306" s="245" t="s">
        <v>698</v>
      </c>
    </row>
    <row r="307" spans="1:9" ht="15.75" customHeight="1" x14ac:dyDescent="0.25">
      <c r="A307" s="511"/>
      <c r="B307" s="233" t="s">
        <v>668</v>
      </c>
      <c r="C307" s="234">
        <v>19000</v>
      </c>
      <c r="D307" s="235"/>
      <c r="F307" s="246"/>
      <c r="G307" s="251" t="s">
        <v>83</v>
      </c>
      <c r="H307" s="248">
        <v>596962</v>
      </c>
      <c r="I307" s="246"/>
    </row>
    <row r="308" spans="1:9" ht="15.75" customHeight="1" x14ac:dyDescent="0.25">
      <c r="A308" s="235"/>
      <c r="B308" s="233" t="s">
        <v>669</v>
      </c>
      <c r="C308" s="234">
        <v>6200</v>
      </c>
      <c r="D308" s="235"/>
    </row>
    <row r="309" spans="1:9" ht="15.75" customHeight="1" x14ac:dyDescent="0.25">
      <c r="A309" s="235"/>
      <c r="B309" s="233" t="s">
        <v>670</v>
      </c>
      <c r="C309" s="234">
        <v>2500</v>
      </c>
      <c r="D309" s="235"/>
    </row>
    <row r="310" spans="1:9" ht="15.75" customHeight="1" x14ac:dyDescent="0.25">
      <c r="A310" s="232">
        <v>45876</v>
      </c>
      <c r="B310" s="233" t="s">
        <v>671</v>
      </c>
      <c r="C310" s="234">
        <v>2000</v>
      </c>
      <c r="D310" s="235"/>
    </row>
    <row r="311" spans="1:9" ht="15.75" customHeight="1" x14ac:dyDescent="0.25">
      <c r="A311" s="235"/>
      <c r="B311" s="233" t="s">
        <v>665</v>
      </c>
      <c r="C311" s="236">
        <v>250</v>
      </c>
      <c r="D311" s="235"/>
    </row>
    <row r="312" spans="1:9" ht="15.75" customHeight="1" x14ac:dyDescent="0.25">
      <c r="A312" s="235"/>
      <c r="B312" s="233" t="s">
        <v>665</v>
      </c>
      <c r="C312" s="236">
        <v>300</v>
      </c>
      <c r="D312" s="235"/>
    </row>
    <row r="313" spans="1:9" ht="15.75" customHeight="1" x14ac:dyDescent="0.25">
      <c r="A313" s="232">
        <v>45877</v>
      </c>
      <c r="B313" s="233" t="s">
        <v>665</v>
      </c>
      <c r="C313" s="234">
        <v>21600</v>
      </c>
      <c r="D313" s="235"/>
    </row>
    <row r="314" spans="1:9" ht="15.75" customHeight="1" x14ac:dyDescent="0.25">
      <c r="A314" s="232">
        <v>45881</v>
      </c>
      <c r="B314" s="233" t="s">
        <v>665</v>
      </c>
      <c r="C314" s="236">
        <v>300</v>
      </c>
      <c r="D314" s="233" t="s">
        <v>672</v>
      </c>
    </row>
    <row r="315" spans="1:9" ht="15.75" customHeight="1" x14ac:dyDescent="0.25">
      <c r="A315" s="232">
        <v>45882</v>
      </c>
      <c r="B315" s="233" t="s">
        <v>664</v>
      </c>
      <c r="C315" s="236">
        <v>800</v>
      </c>
      <c r="D315" s="235"/>
    </row>
    <row r="316" spans="1:9" ht="15.75" customHeight="1" x14ac:dyDescent="0.25">
      <c r="A316" s="235"/>
      <c r="B316" s="233" t="s">
        <v>673</v>
      </c>
      <c r="C316" s="236">
        <v>260</v>
      </c>
      <c r="D316" s="235"/>
    </row>
    <row r="317" spans="1:9" ht="15.75" customHeight="1" x14ac:dyDescent="0.25">
      <c r="A317" s="232">
        <v>45883</v>
      </c>
      <c r="B317" s="233" t="s">
        <v>665</v>
      </c>
      <c r="C317" s="234">
        <v>10200</v>
      </c>
      <c r="D317" s="235"/>
    </row>
    <row r="318" spans="1:9" ht="15.75" customHeight="1" x14ac:dyDescent="0.25">
      <c r="A318" s="235"/>
      <c r="B318" s="233" t="s">
        <v>665</v>
      </c>
      <c r="C318" s="236">
        <v>640</v>
      </c>
      <c r="D318" s="235"/>
    </row>
    <row r="319" spans="1:9" ht="15.75" customHeight="1" x14ac:dyDescent="0.25">
      <c r="A319" s="235"/>
      <c r="B319" s="233" t="s">
        <v>674</v>
      </c>
      <c r="C319" s="234">
        <v>20100</v>
      </c>
      <c r="D319" s="233" t="s">
        <v>675</v>
      </c>
    </row>
    <row r="320" spans="1:9" ht="15.75" customHeight="1" x14ac:dyDescent="0.25">
      <c r="A320" s="511">
        <v>45885</v>
      </c>
      <c r="B320" s="233" t="s">
        <v>665</v>
      </c>
      <c r="C320" s="236">
        <v>300</v>
      </c>
      <c r="D320" s="235"/>
    </row>
    <row r="321" spans="1:4" ht="15.75" customHeight="1" x14ac:dyDescent="0.25">
      <c r="A321" s="511"/>
      <c r="B321" s="233" t="s">
        <v>676</v>
      </c>
      <c r="C321" s="236">
        <v>900</v>
      </c>
      <c r="D321" s="233" t="s">
        <v>677</v>
      </c>
    </row>
    <row r="322" spans="1:4" ht="15.75" customHeight="1" x14ac:dyDescent="0.25">
      <c r="A322" s="235"/>
      <c r="B322" s="233" t="s">
        <v>676</v>
      </c>
      <c r="C322" s="234">
        <v>7900</v>
      </c>
      <c r="D322" s="233" t="s">
        <v>677</v>
      </c>
    </row>
    <row r="323" spans="1:4" ht="15.75" customHeight="1" x14ac:dyDescent="0.25">
      <c r="A323" s="511">
        <v>45887</v>
      </c>
      <c r="B323" s="233" t="s">
        <v>666</v>
      </c>
      <c r="C323" s="234">
        <v>2000</v>
      </c>
      <c r="D323" s="235"/>
    </row>
    <row r="324" spans="1:4" ht="15.75" customHeight="1" x14ac:dyDescent="0.25">
      <c r="A324" s="511"/>
      <c r="B324" s="233" t="s">
        <v>678</v>
      </c>
      <c r="C324" s="236">
        <v>450</v>
      </c>
      <c r="D324" s="235"/>
    </row>
    <row r="325" spans="1:4" ht="15.75" customHeight="1" x14ac:dyDescent="0.25">
      <c r="A325" s="235"/>
      <c r="B325" s="233" t="s">
        <v>663</v>
      </c>
      <c r="C325" s="234">
        <v>6300</v>
      </c>
      <c r="D325" s="235"/>
    </row>
    <row r="326" spans="1:4" ht="15.75" customHeight="1" x14ac:dyDescent="0.25">
      <c r="A326" s="232">
        <v>45888</v>
      </c>
      <c r="B326" s="233" t="s">
        <v>679</v>
      </c>
      <c r="C326" s="234">
        <v>10000</v>
      </c>
      <c r="D326" s="235"/>
    </row>
    <row r="327" spans="1:4" ht="15.75" customHeight="1" x14ac:dyDescent="0.25">
      <c r="A327" s="235"/>
      <c r="B327" s="233" t="s">
        <v>680</v>
      </c>
      <c r="C327" s="236">
        <v>200</v>
      </c>
      <c r="D327" s="235"/>
    </row>
    <row r="328" spans="1:4" ht="15.75" customHeight="1" x14ac:dyDescent="0.25">
      <c r="A328" s="511">
        <v>45889</v>
      </c>
      <c r="B328" s="233" t="s">
        <v>681</v>
      </c>
      <c r="C328" s="234">
        <v>10000</v>
      </c>
      <c r="D328" s="235"/>
    </row>
    <row r="329" spans="1:4" ht="15.75" customHeight="1" x14ac:dyDescent="0.25">
      <c r="A329" s="511"/>
      <c r="B329" s="233" t="s">
        <v>682</v>
      </c>
      <c r="C329" s="234">
        <v>1000</v>
      </c>
      <c r="D329" s="235"/>
    </row>
    <row r="330" spans="1:4" ht="15.75" customHeight="1" x14ac:dyDescent="0.25">
      <c r="A330" s="232">
        <v>45890</v>
      </c>
      <c r="B330" s="233" t="s">
        <v>683</v>
      </c>
      <c r="C330" s="234">
        <v>31000</v>
      </c>
      <c r="D330" s="235"/>
    </row>
    <row r="331" spans="1:4" ht="15.75" customHeight="1" x14ac:dyDescent="0.25">
      <c r="A331" s="235"/>
      <c r="B331" s="233" t="s">
        <v>679</v>
      </c>
      <c r="C331" s="234">
        <v>3000</v>
      </c>
      <c r="D331" s="235"/>
    </row>
    <row r="332" spans="1:4" ht="15.75" customHeight="1" x14ac:dyDescent="0.25">
      <c r="A332" s="232">
        <v>45891</v>
      </c>
      <c r="B332" s="233" t="s">
        <v>684</v>
      </c>
      <c r="C332" s="236">
        <v>830</v>
      </c>
      <c r="D332" s="235"/>
    </row>
    <row r="333" spans="1:4" ht="15.75" customHeight="1" x14ac:dyDescent="0.25">
      <c r="A333" s="235"/>
      <c r="B333" s="233" t="s">
        <v>676</v>
      </c>
      <c r="C333" s="234">
        <v>1850</v>
      </c>
      <c r="D333" s="233" t="s">
        <v>685</v>
      </c>
    </row>
    <row r="334" spans="1:4" ht="15.75" customHeight="1" x14ac:dyDescent="0.25">
      <c r="A334" s="235"/>
      <c r="B334" s="233" t="s">
        <v>686</v>
      </c>
      <c r="C334" s="234">
        <v>10000</v>
      </c>
      <c r="D334" s="235"/>
    </row>
    <row r="335" spans="1:4" ht="15.75" customHeight="1" x14ac:dyDescent="0.25">
      <c r="A335" s="511">
        <v>45892</v>
      </c>
      <c r="B335" s="233" t="s">
        <v>687</v>
      </c>
      <c r="C335" s="236">
        <v>150</v>
      </c>
      <c r="D335" s="235"/>
    </row>
    <row r="336" spans="1:4" ht="15.75" customHeight="1" x14ac:dyDescent="0.25">
      <c r="A336" s="511"/>
      <c r="B336" s="233" t="s">
        <v>663</v>
      </c>
      <c r="C336" s="234">
        <v>14600</v>
      </c>
      <c r="D336" s="235"/>
    </row>
    <row r="337" spans="1:10" ht="15.75" customHeight="1" x14ac:dyDescent="0.25">
      <c r="A337" s="235"/>
      <c r="B337" s="233" t="s">
        <v>688</v>
      </c>
      <c r="C337" s="236">
        <v>290</v>
      </c>
      <c r="D337" s="235"/>
    </row>
    <row r="338" spans="1:10" ht="15.75" customHeight="1" x14ac:dyDescent="0.25">
      <c r="A338" s="232">
        <v>45894</v>
      </c>
      <c r="B338" s="233" t="s">
        <v>689</v>
      </c>
      <c r="C338" s="236">
        <v>330</v>
      </c>
      <c r="D338" s="235"/>
    </row>
    <row r="339" spans="1:10" ht="15.75" customHeight="1" x14ac:dyDescent="0.25">
      <c r="A339" s="232">
        <v>45895</v>
      </c>
      <c r="B339" s="233" t="s">
        <v>663</v>
      </c>
      <c r="C339" s="234">
        <v>5900</v>
      </c>
      <c r="D339" s="235"/>
    </row>
    <row r="340" spans="1:10" ht="15.75" customHeight="1" x14ac:dyDescent="0.25">
      <c r="A340" s="511">
        <v>45899</v>
      </c>
      <c r="B340" s="233" t="s">
        <v>690</v>
      </c>
      <c r="C340" s="234">
        <v>6000</v>
      </c>
      <c r="D340" s="235"/>
    </row>
    <row r="341" spans="1:10" ht="15.75" customHeight="1" x14ac:dyDescent="0.25">
      <c r="A341" s="511"/>
      <c r="B341" s="233" t="s">
        <v>691</v>
      </c>
      <c r="C341" s="234">
        <v>13800</v>
      </c>
      <c r="D341" s="235"/>
    </row>
    <row r="342" spans="1:10" ht="15.75" customHeight="1" thickBot="1" x14ac:dyDescent="0.3">
      <c r="A342" s="237">
        <v>45900</v>
      </c>
      <c r="B342" s="238" t="s">
        <v>663</v>
      </c>
      <c r="C342" s="239">
        <v>10000</v>
      </c>
      <c r="D342" s="240"/>
    </row>
    <row r="343" spans="1:10" ht="15.75" customHeight="1" thickBot="1" x14ac:dyDescent="0.3">
      <c r="A343" s="512" t="s">
        <v>692</v>
      </c>
      <c r="B343" s="513"/>
      <c r="C343" s="241">
        <f>SUM(C301:C342)</f>
        <v>303180</v>
      </c>
      <c r="D343" s="242"/>
    </row>
    <row r="344" spans="1:10" ht="15.75" customHeight="1" x14ac:dyDescent="0.25"/>
    <row r="345" spans="1:10" ht="15.75" customHeight="1" thickBot="1" x14ac:dyDescent="0.3"/>
    <row r="346" spans="1:10" ht="15.75" customHeight="1" x14ac:dyDescent="0.25">
      <c r="A346" s="487" t="s">
        <v>522</v>
      </c>
      <c r="B346" s="488"/>
      <c r="C346" s="488"/>
      <c r="D346" s="489"/>
      <c r="G346" s="487" t="s">
        <v>523</v>
      </c>
      <c r="H346" s="488"/>
      <c r="I346" s="488"/>
      <c r="J346" s="489"/>
    </row>
    <row r="347" spans="1:10" ht="15.75" customHeight="1" thickBot="1" x14ac:dyDescent="0.3">
      <c r="A347" s="275" t="s">
        <v>210</v>
      </c>
      <c r="B347" s="151" t="s">
        <v>211</v>
      </c>
      <c r="C347" s="152" t="s">
        <v>212</v>
      </c>
      <c r="D347" s="276" t="s">
        <v>213</v>
      </c>
      <c r="G347" s="153" t="s">
        <v>210</v>
      </c>
      <c r="H347" s="154" t="s">
        <v>211</v>
      </c>
      <c r="I347" s="155" t="s">
        <v>212</v>
      </c>
      <c r="J347" s="156" t="s">
        <v>213</v>
      </c>
    </row>
    <row r="348" spans="1:10" ht="15.75" customHeight="1" x14ac:dyDescent="0.25">
      <c r="A348" s="277">
        <v>45901</v>
      </c>
      <c r="B348" s="157" t="s">
        <v>233</v>
      </c>
      <c r="C348" s="158">
        <v>8600</v>
      </c>
      <c r="D348" s="165"/>
      <c r="G348" s="159">
        <v>45920</v>
      </c>
      <c r="H348" s="160" t="s">
        <v>524</v>
      </c>
      <c r="I348" s="161">
        <v>11088</v>
      </c>
      <c r="J348" s="162"/>
    </row>
    <row r="349" spans="1:10" ht="15.75" customHeight="1" x14ac:dyDescent="0.25">
      <c r="A349" s="277">
        <v>45904</v>
      </c>
      <c r="B349" s="157" t="s">
        <v>525</v>
      </c>
      <c r="C349" s="158">
        <v>150</v>
      </c>
      <c r="D349" s="165"/>
      <c r="G349" s="163">
        <v>45920</v>
      </c>
      <c r="H349" s="145" t="s">
        <v>526</v>
      </c>
      <c r="I349" s="164">
        <v>43710</v>
      </c>
      <c r="J349" s="165"/>
    </row>
    <row r="350" spans="1:10" ht="15.75" customHeight="1" x14ac:dyDescent="0.25">
      <c r="A350" s="277">
        <v>45904</v>
      </c>
      <c r="B350" s="157" t="s">
        <v>271</v>
      </c>
      <c r="C350" s="158">
        <v>16000</v>
      </c>
      <c r="D350" s="165"/>
      <c r="G350" s="163">
        <v>45929</v>
      </c>
      <c r="H350" s="145" t="s">
        <v>527</v>
      </c>
      <c r="I350" s="164">
        <v>25135</v>
      </c>
      <c r="J350" s="165"/>
    </row>
    <row r="351" spans="1:10" ht="15.75" customHeight="1" x14ac:dyDescent="0.25">
      <c r="A351" s="277">
        <v>45904</v>
      </c>
      <c r="B351" s="157" t="s">
        <v>528</v>
      </c>
      <c r="C351" s="158">
        <v>9200</v>
      </c>
      <c r="D351" s="165"/>
      <c r="G351" s="163">
        <v>45929</v>
      </c>
      <c r="H351" s="145" t="s">
        <v>529</v>
      </c>
      <c r="I351" s="164">
        <v>14740</v>
      </c>
      <c r="J351" s="165"/>
    </row>
    <row r="352" spans="1:10" ht="15.75" customHeight="1" x14ac:dyDescent="0.25">
      <c r="A352" s="277">
        <v>45905</v>
      </c>
      <c r="B352" s="157" t="s">
        <v>530</v>
      </c>
      <c r="C352" s="158">
        <v>4500</v>
      </c>
      <c r="D352" s="165" t="s">
        <v>531</v>
      </c>
      <c r="G352" s="163">
        <v>45929</v>
      </c>
      <c r="H352" s="145" t="s">
        <v>532</v>
      </c>
      <c r="I352" s="164">
        <v>14724</v>
      </c>
      <c r="J352" s="165"/>
    </row>
    <row r="353" spans="1:10" ht="15.75" customHeight="1" x14ac:dyDescent="0.25">
      <c r="A353" s="277">
        <v>45905</v>
      </c>
      <c r="B353" s="157" t="s">
        <v>376</v>
      </c>
      <c r="C353" s="158">
        <v>40000</v>
      </c>
      <c r="D353" s="165"/>
      <c r="G353" s="163">
        <v>45929</v>
      </c>
      <c r="H353" s="145" t="s">
        <v>533</v>
      </c>
      <c r="I353" s="164">
        <v>11924</v>
      </c>
      <c r="J353" s="165"/>
    </row>
    <row r="354" spans="1:10" ht="15.75" customHeight="1" x14ac:dyDescent="0.25">
      <c r="A354" s="277">
        <v>45905</v>
      </c>
      <c r="B354" s="157" t="s">
        <v>534</v>
      </c>
      <c r="C354" s="158">
        <v>3250</v>
      </c>
      <c r="D354" s="165"/>
      <c r="G354" s="163">
        <v>45929</v>
      </c>
      <c r="H354" s="145" t="s">
        <v>535</v>
      </c>
      <c r="I354" s="164">
        <v>16478</v>
      </c>
      <c r="J354" s="165"/>
    </row>
    <row r="355" spans="1:10" ht="15.75" customHeight="1" x14ac:dyDescent="0.25">
      <c r="A355" s="277">
        <v>45906</v>
      </c>
      <c r="B355" s="157" t="s">
        <v>262</v>
      </c>
      <c r="C355" s="158">
        <v>21100</v>
      </c>
      <c r="D355" s="165"/>
      <c r="G355" s="163">
        <v>45929</v>
      </c>
      <c r="H355" s="145" t="s">
        <v>536</v>
      </c>
      <c r="I355" s="164">
        <v>2444</v>
      </c>
      <c r="J355" s="165"/>
    </row>
    <row r="356" spans="1:10" ht="15.75" customHeight="1" x14ac:dyDescent="0.25">
      <c r="A356" s="277">
        <v>45906</v>
      </c>
      <c r="B356" s="157" t="s">
        <v>537</v>
      </c>
      <c r="C356" s="158">
        <v>15000</v>
      </c>
      <c r="D356" s="165"/>
      <c r="G356" s="163">
        <v>45929</v>
      </c>
      <c r="H356" s="145" t="s">
        <v>538</v>
      </c>
      <c r="I356" s="164">
        <v>8000</v>
      </c>
      <c r="J356" s="165"/>
    </row>
    <row r="357" spans="1:10" ht="15.75" customHeight="1" x14ac:dyDescent="0.25">
      <c r="A357" s="277">
        <v>45906</v>
      </c>
      <c r="B357" s="157" t="s">
        <v>539</v>
      </c>
      <c r="C357" s="158">
        <v>13280</v>
      </c>
      <c r="D357" s="165"/>
      <c r="G357" s="163">
        <v>45929</v>
      </c>
      <c r="H357" s="145" t="s">
        <v>540</v>
      </c>
      <c r="I357" s="164">
        <v>14124</v>
      </c>
      <c r="J357" s="165"/>
    </row>
    <row r="358" spans="1:10" ht="15.75" customHeight="1" x14ac:dyDescent="0.25">
      <c r="A358" s="277">
        <v>45908</v>
      </c>
      <c r="B358" s="157" t="s">
        <v>541</v>
      </c>
      <c r="C358" s="158">
        <v>970</v>
      </c>
      <c r="D358" s="165"/>
      <c r="G358" s="163">
        <v>45929</v>
      </c>
      <c r="H358" s="145" t="s">
        <v>542</v>
      </c>
      <c r="I358" s="164">
        <v>2520</v>
      </c>
      <c r="J358" s="165"/>
    </row>
    <row r="359" spans="1:10" ht="15.75" customHeight="1" x14ac:dyDescent="0.25">
      <c r="A359" s="277">
        <v>45908</v>
      </c>
      <c r="B359" s="157" t="s">
        <v>543</v>
      </c>
      <c r="C359" s="158">
        <v>10650</v>
      </c>
      <c r="D359" s="165"/>
      <c r="G359" s="163">
        <v>45929</v>
      </c>
      <c r="H359" s="145" t="s">
        <v>544</v>
      </c>
      <c r="I359" s="164">
        <v>10935</v>
      </c>
      <c r="J359" s="165"/>
    </row>
    <row r="360" spans="1:10" ht="15.75" customHeight="1" x14ac:dyDescent="0.25">
      <c r="A360" s="277">
        <v>45909</v>
      </c>
      <c r="B360" s="157" t="s">
        <v>259</v>
      </c>
      <c r="C360" s="158">
        <v>2000</v>
      </c>
      <c r="D360" s="165"/>
      <c r="G360" s="163">
        <v>45929</v>
      </c>
      <c r="H360" s="145" t="s">
        <v>545</v>
      </c>
      <c r="I360" s="164">
        <v>8516</v>
      </c>
      <c r="J360" s="165"/>
    </row>
    <row r="361" spans="1:10" ht="15.75" customHeight="1" x14ac:dyDescent="0.25">
      <c r="A361" s="277">
        <v>45909</v>
      </c>
      <c r="B361" s="157" t="s">
        <v>349</v>
      </c>
      <c r="C361" s="158">
        <v>4000</v>
      </c>
      <c r="D361" s="165"/>
      <c r="G361" s="163">
        <v>45929</v>
      </c>
      <c r="H361" s="145" t="s">
        <v>546</v>
      </c>
      <c r="I361" s="164">
        <v>3290</v>
      </c>
      <c r="J361" s="165"/>
    </row>
    <row r="362" spans="1:10" ht="15.75" customHeight="1" x14ac:dyDescent="0.25">
      <c r="A362" s="277">
        <v>45909</v>
      </c>
      <c r="B362" s="157" t="s">
        <v>547</v>
      </c>
      <c r="C362" s="158">
        <v>200</v>
      </c>
      <c r="D362" s="165"/>
      <c r="G362" s="163">
        <v>45929</v>
      </c>
      <c r="H362" s="145" t="s">
        <v>548</v>
      </c>
      <c r="I362" s="164">
        <v>4032</v>
      </c>
      <c r="J362" s="165"/>
    </row>
    <row r="363" spans="1:10" ht="15.75" customHeight="1" x14ac:dyDescent="0.25">
      <c r="A363" s="277">
        <v>45910</v>
      </c>
      <c r="B363" s="157" t="s">
        <v>413</v>
      </c>
      <c r="C363" s="158">
        <v>1900</v>
      </c>
      <c r="D363" s="165"/>
      <c r="G363" s="163">
        <v>45929</v>
      </c>
      <c r="H363" s="145" t="s">
        <v>549</v>
      </c>
      <c r="I363" s="164">
        <v>10830</v>
      </c>
      <c r="J363" s="165"/>
    </row>
    <row r="364" spans="1:10" ht="15.75" customHeight="1" x14ac:dyDescent="0.25">
      <c r="A364" s="277">
        <v>45911</v>
      </c>
      <c r="B364" s="157" t="s">
        <v>230</v>
      </c>
      <c r="C364" s="158">
        <v>10000</v>
      </c>
      <c r="D364" s="165"/>
      <c r="G364" s="163">
        <v>45929</v>
      </c>
      <c r="H364" s="145" t="s">
        <v>550</v>
      </c>
      <c r="I364" s="164">
        <v>1987</v>
      </c>
      <c r="J364" s="165"/>
    </row>
    <row r="365" spans="1:10" ht="15.75" customHeight="1" x14ac:dyDescent="0.25">
      <c r="A365" s="277">
        <v>45912</v>
      </c>
      <c r="B365" s="157" t="s">
        <v>551</v>
      </c>
      <c r="C365" s="158">
        <v>4800</v>
      </c>
      <c r="D365" s="165"/>
      <c r="G365" s="163">
        <v>45929</v>
      </c>
      <c r="H365" s="145" t="s">
        <v>552</v>
      </c>
      <c r="I365" s="164">
        <v>1987</v>
      </c>
      <c r="J365" s="165"/>
    </row>
    <row r="366" spans="1:10" ht="15.75" customHeight="1" x14ac:dyDescent="0.25">
      <c r="A366" s="277">
        <v>45912</v>
      </c>
      <c r="B366" s="157" t="s">
        <v>553</v>
      </c>
      <c r="C366" s="158">
        <v>20200</v>
      </c>
      <c r="D366" s="165" t="s">
        <v>227</v>
      </c>
      <c r="G366" s="163">
        <v>45929</v>
      </c>
      <c r="H366" s="145" t="s">
        <v>554</v>
      </c>
      <c r="I366" s="164">
        <v>2235</v>
      </c>
      <c r="J366" s="165"/>
    </row>
    <row r="367" spans="1:10" ht="15.75" customHeight="1" x14ac:dyDescent="0.25">
      <c r="A367" s="277">
        <v>45912</v>
      </c>
      <c r="B367" s="157" t="s">
        <v>376</v>
      </c>
      <c r="C367" s="158">
        <v>2000</v>
      </c>
      <c r="D367" s="165"/>
      <c r="G367" s="163">
        <v>45929</v>
      </c>
      <c r="H367" s="145" t="s">
        <v>555</v>
      </c>
      <c r="I367" s="164">
        <v>1987</v>
      </c>
      <c r="J367" s="165"/>
    </row>
    <row r="368" spans="1:10" ht="15.75" customHeight="1" thickBot="1" x14ac:dyDescent="0.3">
      <c r="A368" s="277">
        <v>45913</v>
      </c>
      <c r="B368" s="157" t="s">
        <v>556</v>
      </c>
      <c r="C368" s="158">
        <v>500</v>
      </c>
      <c r="D368" s="165"/>
      <c r="G368" s="166">
        <v>45930</v>
      </c>
      <c r="H368" s="167" t="s">
        <v>557</v>
      </c>
      <c r="I368" s="168">
        <v>24235</v>
      </c>
      <c r="J368" s="169"/>
    </row>
    <row r="369" spans="1:10" ht="15.75" customHeight="1" thickBot="1" x14ac:dyDescent="0.3">
      <c r="A369" s="277">
        <v>45913</v>
      </c>
      <c r="B369" s="157" t="s">
        <v>558</v>
      </c>
      <c r="C369" s="158">
        <v>300</v>
      </c>
      <c r="D369" s="165" t="s">
        <v>559</v>
      </c>
      <c r="G369" s="170"/>
      <c r="H369" s="171" t="s">
        <v>83</v>
      </c>
      <c r="I369" s="172">
        <f>SUM(I348:I368)</f>
        <v>234921</v>
      </c>
      <c r="J369" s="173"/>
    </row>
    <row r="370" spans="1:10" ht="15.75" customHeight="1" x14ac:dyDescent="0.25">
      <c r="A370" s="277">
        <v>45913</v>
      </c>
      <c r="B370" s="157" t="s">
        <v>560</v>
      </c>
      <c r="C370" s="158">
        <v>6800</v>
      </c>
      <c r="D370" s="165"/>
    </row>
    <row r="371" spans="1:10" ht="15.75" customHeight="1" x14ac:dyDescent="0.25">
      <c r="A371" s="277">
        <v>45913</v>
      </c>
      <c r="B371" s="157" t="s">
        <v>537</v>
      </c>
      <c r="C371" s="158">
        <v>8700</v>
      </c>
      <c r="D371" s="165"/>
    </row>
    <row r="372" spans="1:10" ht="15.75" customHeight="1" x14ac:dyDescent="0.25">
      <c r="A372" s="277">
        <v>45913</v>
      </c>
      <c r="B372" s="174" t="s">
        <v>561</v>
      </c>
      <c r="C372" s="158">
        <v>5880</v>
      </c>
      <c r="D372" s="165"/>
    </row>
    <row r="373" spans="1:10" ht="15.75" customHeight="1" x14ac:dyDescent="0.25">
      <c r="A373" s="277">
        <v>45914</v>
      </c>
      <c r="B373" s="174" t="s">
        <v>452</v>
      </c>
      <c r="C373" s="158">
        <v>500</v>
      </c>
      <c r="D373" s="165"/>
    </row>
    <row r="374" spans="1:10" ht="15.75" customHeight="1" x14ac:dyDescent="0.25">
      <c r="A374" s="277">
        <v>45914</v>
      </c>
      <c r="B374" s="174" t="s">
        <v>561</v>
      </c>
      <c r="C374" s="158">
        <v>800</v>
      </c>
      <c r="D374" s="165"/>
    </row>
    <row r="375" spans="1:10" ht="15.75" customHeight="1" x14ac:dyDescent="0.25">
      <c r="A375" s="277">
        <v>45914</v>
      </c>
      <c r="B375" s="157" t="s">
        <v>562</v>
      </c>
      <c r="C375" s="175">
        <v>6200</v>
      </c>
      <c r="D375" s="165"/>
    </row>
    <row r="376" spans="1:10" ht="15.75" customHeight="1" x14ac:dyDescent="0.25">
      <c r="A376" s="277">
        <v>45915</v>
      </c>
      <c r="B376" s="157" t="s">
        <v>349</v>
      </c>
      <c r="C376" s="175">
        <v>1000</v>
      </c>
      <c r="D376" s="165"/>
    </row>
    <row r="377" spans="1:10" ht="15.75" customHeight="1" x14ac:dyDescent="0.25">
      <c r="A377" s="277">
        <v>45915</v>
      </c>
      <c r="B377" s="157" t="s">
        <v>563</v>
      </c>
      <c r="C377" s="175">
        <v>450</v>
      </c>
      <c r="D377" s="165"/>
    </row>
    <row r="378" spans="1:10" ht="15.75" customHeight="1" x14ac:dyDescent="0.25">
      <c r="A378" s="277">
        <v>45919</v>
      </c>
      <c r="B378" s="174" t="s">
        <v>259</v>
      </c>
      <c r="C378" s="175">
        <v>2000</v>
      </c>
      <c r="D378" s="165"/>
    </row>
    <row r="379" spans="1:10" ht="15.75" customHeight="1" x14ac:dyDescent="0.25">
      <c r="A379" s="277">
        <v>45919</v>
      </c>
      <c r="B379" s="174" t="s">
        <v>564</v>
      </c>
      <c r="C379" s="175">
        <v>260</v>
      </c>
      <c r="D379" s="165"/>
    </row>
    <row r="380" spans="1:10" ht="15.75" customHeight="1" x14ac:dyDescent="0.25">
      <c r="A380" s="277">
        <v>45920</v>
      </c>
      <c r="B380" s="174" t="s">
        <v>413</v>
      </c>
      <c r="C380" s="175">
        <v>8650</v>
      </c>
      <c r="D380" s="165"/>
    </row>
    <row r="381" spans="1:10" ht="15.75" customHeight="1" x14ac:dyDescent="0.25">
      <c r="A381" s="277">
        <v>45921</v>
      </c>
      <c r="B381" s="157" t="s">
        <v>565</v>
      </c>
      <c r="C381" s="175">
        <v>12000</v>
      </c>
      <c r="D381" s="165"/>
    </row>
    <row r="382" spans="1:10" ht="15.75" customHeight="1" x14ac:dyDescent="0.25">
      <c r="A382" s="277">
        <v>45924</v>
      </c>
      <c r="B382" s="157" t="s">
        <v>566</v>
      </c>
      <c r="C382" s="175">
        <v>250</v>
      </c>
      <c r="D382" s="165"/>
    </row>
    <row r="383" spans="1:10" ht="15.75" customHeight="1" x14ac:dyDescent="0.25">
      <c r="A383" s="277">
        <v>45924</v>
      </c>
      <c r="B383" s="157" t="s">
        <v>567</v>
      </c>
      <c r="C383" s="175">
        <v>3720</v>
      </c>
      <c r="D383" s="165"/>
    </row>
    <row r="384" spans="1:10" ht="15.75" customHeight="1" x14ac:dyDescent="0.25">
      <c r="A384" s="277">
        <v>45924</v>
      </c>
      <c r="B384" s="157" t="s">
        <v>568</v>
      </c>
      <c r="C384" s="175">
        <v>1030</v>
      </c>
      <c r="D384" s="165"/>
    </row>
    <row r="385" spans="1:10" ht="15.75" customHeight="1" x14ac:dyDescent="0.25">
      <c r="A385" s="277">
        <v>45924</v>
      </c>
      <c r="B385" s="174" t="s">
        <v>569</v>
      </c>
      <c r="C385" s="175">
        <v>3000</v>
      </c>
      <c r="D385" s="165"/>
    </row>
    <row r="386" spans="1:10" ht="15.75" customHeight="1" x14ac:dyDescent="0.25">
      <c r="A386" s="277">
        <v>45925</v>
      </c>
      <c r="B386" s="157" t="s">
        <v>570</v>
      </c>
      <c r="C386" s="175">
        <v>6000</v>
      </c>
      <c r="D386" s="165"/>
    </row>
    <row r="387" spans="1:10" ht="15.75" customHeight="1" x14ac:dyDescent="0.25">
      <c r="A387" s="277">
        <v>45926</v>
      </c>
      <c r="B387" s="157" t="s">
        <v>571</v>
      </c>
      <c r="C387" s="175">
        <v>3960</v>
      </c>
      <c r="D387" s="165"/>
    </row>
    <row r="388" spans="1:10" ht="15.75" customHeight="1" x14ac:dyDescent="0.25">
      <c r="A388" s="277">
        <v>45927</v>
      </c>
      <c r="B388" s="157" t="s">
        <v>271</v>
      </c>
      <c r="C388" s="175">
        <v>17500</v>
      </c>
      <c r="D388" s="165"/>
    </row>
    <row r="389" spans="1:10" ht="15.75" customHeight="1" x14ac:dyDescent="0.25">
      <c r="A389" s="277">
        <v>45929</v>
      </c>
      <c r="B389" s="157" t="s">
        <v>572</v>
      </c>
      <c r="C389" s="175">
        <v>15550</v>
      </c>
      <c r="D389" s="165"/>
    </row>
    <row r="390" spans="1:10" ht="15.75" customHeight="1" x14ac:dyDescent="0.25">
      <c r="A390" s="277">
        <v>45929</v>
      </c>
      <c r="B390" s="157" t="s">
        <v>573</v>
      </c>
      <c r="C390" s="175">
        <v>6000</v>
      </c>
      <c r="D390" s="165"/>
    </row>
    <row r="391" spans="1:10" ht="15.75" customHeight="1" x14ac:dyDescent="0.25">
      <c r="A391" s="277">
        <v>45930</v>
      </c>
      <c r="B391" s="157" t="s">
        <v>271</v>
      </c>
      <c r="C391" s="175">
        <v>44000</v>
      </c>
      <c r="D391" s="165"/>
    </row>
    <row r="392" spans="1:10" ht="15.75" customHeight="1" thickBot="1" x14ac:dyDescent="0.3">
      <c r="A392" s="278"/>
      <c r="B392" s="279" t="s">
        <v>83</v>
      </c>
      <c r="C392" s="280">
        <f>SUM(C348:C391)</f>
        <v>342850</v>
      </c>
      <c r="D392" s="281"/>
    </row>
    <row r="393" spans="1:10" ht="15.75" customHeight="1" x14ac:dyDescent="0.25"/>
    <row r="394" spans="1:10" ht="15.75" customHeight="1" thickBot="1" x14ac:dyDescent="0.3"/>
    <row r="395" spans="1:10" ht="15.75" customHeight="1" x14ac:dyDescent="0.25">
      <c r="A395" s="487" t="s">
        <v>754</v>
      </c>
      <c r="B395" s="488"/>
      <c r="C395" s="488"/>
      <c r="D395" s="489"/>
      <c r="G395" s="487" t="s">
        <v>804</v>
      </c>
      <c r="H395" s="488"/>
      <c r="I395" s="488"/>
      <c r="J395" s="489"/>
    </row>
    <row r="396" spans="1:10" ht="15.75" customHeight="1" thickBot="1" x14ac:dyDescent="0.3">
      <c r="A396" s="275" t="s">
        <v>210</v>
      </c>
      <c r="B396" s="151" t="s">
        <v>211</v>
      </c>
      <c r="C396" s="152" t="s">
        <v>212</v>
      </c>
      <c r="D396" s="276" t="s">
        <v>213</v>
      </c>
      <c r="G396" s="153" t="s">
        <v>210</v>
      </c>
      <c r="H396" s="307" t="s">
        <v>211</v>
      </c>
      <c r="I396" s="155" t="s">
        <v>212</v>
      </c>
      <c r="J396" s="156" t="s">
        <v>213</v>
      </c>
    </row>
    <row r="397" spans="1:10" ht="15.75" customHeight="1" x14ac:dyDescent="0.25">
      <c r="A397" s="277" t="s">
        <v>755</v>
      </c>
      <c r="B397" s="157" t="s">
        <v>393</v>
      </c>
      <c r="C397" s="175">
        <v>1000</v>
      </c>
      <c r="D397" s="165"/>
      <c r="G397" s="277">
        <v>45932</v>
      </c>
      <c r="H397" s="145" t="s">
        <v>805</v>
      </c>
      <c r="I397" s="139">
        <v>128000</v>
      </c>
      <c r="J397" s="162"/>
    </row>
    <row r="398" spans="1:10" ht="15.75" customHeight="1" x14ac:dyDescent="0.25">
      <c r="A398" s="277" t="s">
        <v>756</v>
      </c>
      <c r="B398" s="157" t="s">
        <v>757</v>
      </c>
      <c r="C398" s="175">
        <v>5000</v>
      </c>
      <c r="D398" s="165"/>
      <c r="G398" s="277">
        <v>45934</v>
      </c>
      <c r="H398" s="145" t="s">
        <v>806</v>
      </c>
      <c r="I398" s="139">
        <v>5.9</v>
      </c>
      <c r="J398" s="165"/>
    </row>
    <row r="399" spans="1:10" ht="15.75" customHeight="1" x14ac:dyDescent="0.25">
      <c r="A399" s="277" t="s">
        <v>758</v>
      </c>
      <c r="B399" s="157" t="s">
        <v>759</v>
      </c>
      <c r="C399" s="175">
        <v>2240</v>
      </c>
      <c r="D399" s="165"/>
      <c r="G399" s="277">
        <v>45942</v>
      </c>
      <c r="H399" s="145" t="s">
        <v>807</v>
      </c>
      <c r="I399" s="139">
        <v>5000</v>
      </c>
      <c r="J399" s="165"/>
    </row>
    <row r="400" spans="1:10" ht="15.75" customHeight="1" x14ac:dyDescent="0.25">
      <c r="A400" s="277" t="s">
        <v>758</v>
      </c>
      <c r="B400" s="157" t="s">
        <v>760</v>
      </c>
      <c r="C400" s="175">
        <v>2000</v>
      </c>
      <c r="D400" s="165"/>
      <c r="G400" s="277">
        <v>45948</v>
      </c>
      <c r="H400" s="145" t="s">
        <v>808</v>
      </c>
      <c r="I400" s="139">
        <v>22535</v>
      </c>
      <c r="J400" s="165"/>
    </row>
    <row r="401" spans="1:10" ht="15.75" customHeight="1" x14ac:dyDescent="0.25">
      <c r="A401" s="277" t="s">
        <v>761</v>
      </c>
      <c r="B401" s="157" t="s">
        <v>762</v>
      </c>
      <c r="C401" s="175">
        <v>10100</v>
      </c>
      <c r="D401" s="165"/>
      <c r="G401" s="277">
        <v>45948</v>
      </c>
      <c r="H401" s="145" t="s">
        <v>809</v>
      </c>
      <c r="I401" s="139">
        <v>29426</v>
      </c>
      <c r="J401" s="165"/>
    </row>
    <row r="402" spans="1:10" ht="15.75" customHeight="1" x14ac:dyDescent="0.25">
      <c r="A402" s="277" t="s">
        <v>761</v>
      </c>
      <c r="B402" s="157" t="s">
        <v>293</v>
      </c>
      <c r="C402" s="175">
        <v>25000</v>
      </c>
      <c r="D402" s="165"/>
      <c r="G402" s="277">
        <v>45948</v>
      </c>
      <c r="H402" s="145" t="s">
        <v>810</v>
      </c>
      <c r="I402" s="139">
        <v>12874</v>
      </c>
      <c r="J402" s="165"/>
    </row>
    <row r="403" spans="1:10" ht="15.75" customHeight="1" x14ac:dyDescent="0.25">
      <c r="A403" s="277" t="s">
        <v>761</v>
      </c>
      <c r="B403" s="157" t="s">
        <v>449</v>
      </c>
      <c r="C403" s="175">
        <v>1000</v>
      </c>
      <c r="D403" s="165"/>
      <c r="G403" s="277">
        <v>45948</v>
      </c>
      <c r="H403" s="145" t="s">
        <v>811</v>
      </c>
      <c r="I403" s="139">
        <v>11924</v>
      </c>
      <c r="J403" s="165"/>
    </row>
    <row r="404" spans="1:10" ht="15.75" customHeight="1" x14ac:dyDescent="0.25">
      <c r="A404" s="277" t="s">
        <v>761</v>
      </c>
      <c r="B404" s="157" t="s">
        <v>763</v>
      </c>
      <c r="C404" s="175">
        <v>450</v>
      </c>
      <c r="D404" s="165" t="s">
        <v>764</v>
      </c>
      <c r="G404" s="277">
        <v>45948</v>
      </c>
      <c r="H404" s="145" t="s">
        <v>812</v>
      </c>
      <c r="I404" s="139">
        <v>16478</v>
      </c>
      <c r="J404" s="165"/>
    </row>
    <row r="405" spans="1:10" ht="15.75" customHeight="1" x14ac:dyDescent="0.25">
      <c r="A405" s="277" t="s">
        <v>765</v>
      </c>
      <c r="B405" s="157" t="s">
        <v>766</v>
      </c>
      <c r="C405" s="175">
        <v>9000</v>
      </c>
      <c r="D405" s="165" t="s">
        <v>767</v>
      </c>
      <c r="G405" s="277">
        <v>45948</v>
      </c>
      <c r="H405" s="145" t="s">
        <v>813</v>
      </c>
      <c r="I405" s="139">
        <v>4330</v>
      </c>
      <c r="J405" s="165"/>
    </row>
    <row r="406" spans="1:10" ht="15.75" customHeight="1" x14ac:dyDescent="0.25">
      <c r="A406" s="277" t="s">
        <v>765</v>
      </c>
      <c r="B406" s="157" t="s">
        <v>768</v>
      </c>
      <c r="C406" s="175">
        <v>3090</v>
      </c>
      <c r="D406" s="165" t="s">
        <v>769</v>
      </c>
      <c r="G406" s="277">
        <v>45948</v>
      </c>
      <c r="H406" s="145" t="s">
        <v>814</v>
      </c>
      <c r="I406" s="139">
        <v>4533</v>
      </c>
      <c r="J406" s="165"/>
    </row>
    <row r="407" spans="1:10" ht="15.75" customHeight="1" x14ac:dyDescent="0.25">
      <c r="A407" s="277" t="s">
        <v>770</v>
      </c>
      <c r="B407" s="157" t="s">
        <v>534</v>
      </c>
      <c r="C407" s="175">
        <v>1000</v>
      </c>
      <c r="D407" s="165"/>
      <c r="G407" s="277">
        <v>45948</v>
      </c>
      <c r="H407" s="145" t="s">
        <v>815</v>
      </c>
      <c r="I407" s="139">
        <v>14124</v>
      </c>
      <c r="J407" s="165"/>
    </row>
    <row r="408" spans="1:10" ht="15.75" customHeight="1" x14ac:dyDescent="0.25">
      <c r="A408" s="277" t="s">
        <v>771</v>
      </c>
      <c r="B408" s="157" t="s">
        <v>772</v>
      </c>
      <c r="C408" s="175">
        <v>1000</v>
      </c>
      <c r="D408" s="165"/>
      <c r="G408" s="277">
        <v>45948</v>
      </c>
      <c r="H408" s="145" t="s">
        <v>816</v>
      </c>
      <c r="I408" s="139">
        <v>5600</v>
      </c>
      <c r="J408" s="165"/>
    </row>
    <row r="409" spans="1:10" ht="15.75" customHeight="1" x14ac:dyDescent="0.25">
      <c r="A409" s="277" t="s">
        <v>773</v>
      </c>
      <c r="B409" s="157" t="s">
        <v>293</v>
      </c>
      <c r="C409" s="175">
        <v>7900</v>
      </c>
      <c r="D409" s="165"/>
      <c r="G409" s="277">
        <v>45948</v>
      </c>
      <c r="H409" s="145" t="s">
        <v>817</v>
      </c>
      <c r="I409" s="139">
        <v>11296</v>
      </c>
      <c r="J409" s="165"/>
    </row>
    <row r="410" spans="1:10" ht="15.75" customHeight="1" x14ac:dyDescent="0.25">
      <c r="A410" s="277" t="s">
        <v>773</v>
      </c>
      <c r="B410" s="157" t="s">
        <v>534</v>
      </c>
      <c r="C410" s="175">
        <v>945</v>
      </c>
      <c r="D410" s="165"/>
      <c r="G410" s="277">
        <v>45948</v>
      </c>
      <c r="H410" s="145" t="s">
        <v>818</v>
      </c>
      <c r="I410" s="139">
        <v>6600</v>
      </c>
      <c r="J410" s="165"/>
    </row>
    <row r="411" spans="1:10" ht="15.75" customHeight="1" x14ac:dyDescent="0.25">
      <c r="A411" s="277" t="s">
        <v>773</v>
      </c>
      <c r="B411" s="157" t="s">
        <v>534</v>
      </c>
      <c r="C411" s="175">
        <v>300</v>
      </c>
      <c r="D411" s="165" t="s">
        <v>763</v>
      </c>
      <c r="G411" s="277">
        <v>45948</v>
      </c>
      <c r="H411" s="145" t="s">
        <v>819</v>
      </c>
      <c r="I411" s="139">
        <v>10830</v>
      </c>
      <c r="J411" s="165"/>
    </row>
    <row r="412" spans="1:10" ht="15.75" customHeight="1" x14ac:dyDescent="0.25">
      <c r="A412" s="277" t="s">
        <v>774</v>
      </c>
      <c r="B412" s="157" t="s">
        <v>775</v>
      </c>
      <c r="C412" s="175">
        <v>5000</v>
      </c>
      <c r="D412" s="165"/>
      <c r="G412" s="277">
        <v>45948</v>
      </c>
      <c r="H412" s="145" t="s">
        <v>820</v>
      </c>
      <c r="I412" s="139">
        <v>5133</v>
      </c>
      <c r="J412" s="165"/>
    </row>
    <row r="413" spans="1:10" ht="15.75" customHeight="1" x14ac:dyDescent="0.25">
      <c r="A413" s="277" t="s">
        <v>776</v>
      </c>
      <c r="B413" s="157" t="s">
        <v>293</v>
      </c>
      <c r="C413" s="175">
        <v>10000</v>
      </c>
      <c r="D413" s="165"/>
      <c r="G413" s="277">
        <v>45948</v>
      </c>
      <c r="H413" s="145" t="s">
        <v>821</v>
      </c>
      <c r="I413" s="139">
        <v>4363</v>
      </c>
      <c r="J413" s="165"/>
    </row>
    <row r="414" spans="1:10" ht="15.75" customHeight="1" x14ac:dyDescent="0.25">
      <c r="A414" s="277" t="s">
        <v>776</v>
      </c>
      <c r="B414" s="157" t="s">
        <v>534</v>
      </c>
      <c r="C414" s="175">
        <v>1100</v>
      </c>
      <c r="D414" s="165"/>
      <c r="G414" s="277">
        <v>45948</v>
      </c>
      <c r="H414" s="145" t="s">
        <v>822</v>
      </c>
      <c r="I414" s="139">
        <v>5133</v>
      </c>
      <c r="J414" s="165"/>
    </row>
    <row r="415" spans="1:10" ht="15.75" customHeight="1" x14ac:dyDescent="0.25">
      <c r="A415" s="277" t="s">
        <v>777</v>
      </c>
      <c r="B415" s="157" t="s">
        <v>778</v>
      </c>
      <c r="C415" s="175">
        <v>2900</v>
      </c>
      <c r="D415" s="165" t="s">
        <v>779</v>
      </c>
      <c r="G415" s="277">
        <v>45948</v>
      </c>
      <c r="H415" s="145" t="s">
        <v>823</v>
      </c>
      <c r="I415" s="139">
        <v>4620</v>
      </c>
      <c r="J415" s="165"/>
    </row>
    <row r="416" spans="1:10" ht="15.75" customHeight="1" x14ac:dyDescent="0.25">
      <c r="A416" s="277" t="s">
        <v>780</v>
      </c>
      <c r="B416" s="157" t="s">
        <v>781</v>
      </c>
      <c r="C416" s="175">
        <v>400</v>
      </c>
      <c r="D416" s="165"/>
      <c r="G416" s="277">
        <v>45948</v>
      </c>
      <c r="H416" s="145" t="s">
        <v>824</v>
      </c>
      <c r="I416" s="139">
        <v>9600</v>
      </c>
      <c r="J416" s="165"/>
    </row>
    <row r="417" spans="1:10" ht="15.75" customHeight="1" x14ac:dyDescent="0.25">
      <c r="A417" s="277" t="s">
        <v>780</v>
      </c>
      <c r="B417" s="157" t="s">
        <v>534</v>
      </c>
      <c r="C417" s="175">
        <v>1000</v>
      </c>
      <c r="D417" s="165" t="s">
        <v>782</v>
      </c>
      <c r="G417" s="277">
        <v>45948</v>
      </c>
      <c r="H417" s="145" t="s">
        <v>825</v>
      </c>
      <c r="I417" s="139">
        <v>8800</v>
      </c>
      <c r="J417" s="165"/>
    </row>
    <row r="418" spans="1:10" ht="15.75" customHeight="1" x14ac:dyDescent="0.25">
      <c r="A418" s="277" t="s">
        <v>784</v>
      </c>
      <c r="B418" s="157" t="s">
        <v>760</v>
      </c>
      <c r="C418" s="175">
        <v>2000</v>
      </c>
      <c r="D418" s="165"/>
      <c r="G418" s="277">
        <v>45948</v>
      </c>
      <c r="H418" s="145" t="s">
        <v>826</v>
      </c>
      <c r="I418" s="139">
        <v>9600</v>
      </c>
      <c r="J418" s="165"/>
    </row>
    <row r="419" spans="1:10" ht="15.75" customHeight="1" x14ac:dyDescent="0.25">
      <c r="A419" s="277" t="s">
        <v>784</v>
      </c>
      <c r="B419" s="157" t="s">
        <v>393</v>
      </c>
      <c r="C419" s="175">
        <v>1000</v>
      </c>
      <c r="D419" s="165"/>
      <c r="G419" s="277">
        <v>45949</v>
      </c>
      <c r="H419" s="145" t="s">
        <v>827</v>
      </c>
      <c r="I419" s="139">
        <v>37676</v>
      </c>
      <c r="J419" s="165"/>
    </row>
    <row r="420" spans="1:10" ht="15.75" customHeight="1" x14ac:dyDescent="0.25">
      <c r="A420" s="277" t="s">
        <v>784</v>
      </c>
      <c r="B420" s="157" t="s">
        <v>293</v>
      </c>
      <c r="C420" s="175">
        <v>20000</v>
      </c>
      <c r="D420" s="165"/>
      <c r="G420" s="277">
        <v>45949</v>
      </c>
      <c r="H420" s="145" t="s">
        <v>828</v>
      </c>
      <c r="I420" s="139">
        <v>156598</v>
      </c>
      <c r="J420" s="165"/>
    </row>
    <row r="421" spans="1:10" ht="15.75" customHeight="1" x14ac:dyDescent="0.25">
      <c r="A421" s="277" t="s">
        <v>784</v>
      </c>
      <c r="B421" s="157" t="s">
        <v>785</v>
      </c>
      <c r="C421" s="175">
        <v>23000</v>
      </c>
      <c r="D421" s="165"/>
      <c r="G421" s="277">
        <v>45951</v>
      </c>
      <c r="H421" s="145" t="s">
        <v>829</v>
      </c>
      <c r="I421" s="139">
        <v>5676</v>
      </c>
      <c r="J421" s="165"/>
    </row>
    <row r="422" spans="1:10" ht="15.75" customHeight="1" x14ac:dyDescent="0.25">
      <c r="A422" s="277" t="s">
        <v>786</v>
      </c>
      <c r="B422" s="157" t="s">
        <v>293</v>
      </c>
      <c r="C422" s="175">
        <v>20000</v>
      </c>
      <c r="D422" s="165"/>
      <c r="G422" s="277">
        <v>45955</v>
      </c>
      <c r="H422" s="145" t="s">
        <v>830</v>
      </c>
      <c r="I422" s="139">
        <v>46241</v>
      </c>
      <c r="J422" s="165"/>
    </row>
    <row r="423" spans="1:10" ht="15.75" customHeight="1" x14ac:dyDescent="0.25">
      <c r="A423" s="277" t="s">
        <v>786</v>
      </c>
      <c r="B423" s="157" t="s">
        <v>393</v>
      </c>
      <c r="C423" s="175">
        <v>1000</v>
      </c>
      <c r="D423" s="165"/>
      <c r="G423" s="277">
        <v>45957</v>
      </c>
      <c r="H423" s="145" t="s">
        <v>831</v>
      </c>
      <c r="I423" s="139">
        <v>5000</v>
      </c>
      <c r="J423" s="165"/>
    </row>
    <row r="424" spans="1:10" ht="15.75" customHeight="1" x14ac:dyDescent="0.25">
      <c r="A424" s="277" t="s">
        <v>786</v>
      </c>
      <c r="B424" s="157" t="s">
        <v>787</v>
      </c>
      <c r="C424" s="175">
        <v>540</v>
      </c>
      <c r="D424" s="165"/>
      <c r="G424" s="277">
        <v>45958</v>
      </c>
      <c r="H424" s="145" t="s">
        <v>832</v>
      </c>
      <c r="I424" s="139">
        <v>5.9</v>
      </c>
      <c r="J424" s="165"/>
    </row>
    <row r="425" spans="1:10" ht="15.75" customHeight="1" x14ac:dyDescent="0.25">
      <c r="A425" s="277" t="s">
        <v>788</v>
      </c>
      <c r="B425" s="157" t="s">
        <v>789</v>
      </c>
      <c r="C425" s="175">
        <f>4680+370</f>
        <v>5050</v>
      </c>
      <c r="D425" s="165"/>
      <c r="G425" s="277">
        <v>45958</v>
      </c>
      <c r="H425" s="145" t="s">
        <v>833</v>
      </c>
      <c r="I425" s="139">
        <v>5.9</v>
      </c>
      <c r="J425" s="165"/>
    </row>
    <row r="426" spans="1:10" ht="15.75" customHeight="1" thickBot="1" x14ac:dyDescent="0.3">
      <c r="A426" s="277" t="s">
        <v>790</v>
      </c>
      <c r="B426" s="157" t="s">
        <v>791</v>
      </c>
      <c r="C426" s="175">
        <v>300</v>
      </c>
      <c r="D426" s="165"/>
      <c r="G426" s="302">
        <v>45958</v>
      </c>
      <c r="H426" s="167" t="s">
        <v>834</v>
      </c>
      <c r="I426" s="146">
        <v>16.329999999999998</v>
      </c>
      <c r="J426" s="169"/>
    </row>
    <row r="427" spans="1:10" ht="15.75" customHeight="1" thickBot="1" x14ac:dyDescent="0.3">
      <c r="A427" s="277" t="s">
        <v>790</v>
      </c>
      <c r="B427" s="157" t="s">
        <v>792</v>
      </c>
      <c r="C427" s="175">
        <v>340</v>
      </c>
      <c r="D427" s="165"/>
      <c r="G427" s="309"/>
      <c r="H427" s="207"/>
      <c r="I427" s="316">
        <f>SUM(I397:I426)</f>
        <v>582024.03</v>
      </c>
      <c r="J427" s="173"/>
    </row>
    <row r="428" spans="1:10" ht="15.75" customHeight="1" x14ac:dyDescent="0.25">
      <c r="A428" s="277" t="s">
        <v>793</v>
      </c>
      <c r="B428" s="157" t="s">
        <v>293</v>
      </c>
      <c r="C428" s="175">
        <v>15000</v>
      </c>
      <c r="D428" s="165"/>
      <c r="G428" s="308"/>
    </row>
    <row r="429" spans="1:10" ht="15.75" customHeight="1" x14ac:dyDescent="0.25">
      <c r="A429" s="277" t="s">
        <v>793</v>
      </c>
      <c r="B429" s="157" t="s">
        <v>534</v>
      </c>
      <c r="C429" s="175">
        <v>5000</v>
      </c>
      <c r="D429" s="165" t="s">
        <v>794</v>
      </c>
    </row>
    <row r="430" spans="1:10" ht="15.75" customHeight="1" x14ac:dyDescent="0.25">
      <c r="A430" s="277" t="s">
        <v>795</v>
      </c>
      <c r="B430" s="157" t="s">
        <v>796</v>
      </c>
      <c r="C430" s="175">
        <v>13450</v>
      </c>
      <c r="D430" s="165"/>
    </row>
    <row r="431" spans="1:10" ht="15.75" customHeight="1" x14ac:dyDescent="0.25">
      <c r="A431" s="277" t="s">
        <v>795</v>
      </c>
      <c r="B431" s="157" t="s">
        <v>763</v>
      </c>
      <c r="C431" s="175">
        <v>450</v>
      </c>
      <c r="D431" s="165" t="s">
        <v>764</v>
      </c>
    </row>
    <row r="432" spans="1:10" ht="15.75" customHeight="1" x14ac:dyDescent="0.25">
      <c r="A432" s="277" t="s">
        <v>797</v>
      </c>
      <c r="B432" s="157" t="s">
        <v>230</v>
      </c>
      <c r="C432" s="175">
        <v>5000</v>
      </c>
      <c r="D432" s="165"/>
    </row>
    <row r="433" spans="1:10" ht="15.75" customHeight="1" x14ac:dyDescent="0.25">
      <c r="A433" s="277" t="s">
        <v>798</v>
      </c>
      <c r="B433" s="157" t="s">
        <v>50</v>
      </c>
      <c r="C433" s="175">
        <v>3600</v>
      </c>
      <c r="D433" s="165"/>
    </row>
    <row r="434" spans="1:10" ht="15.75" customHeight="1" x14ac:dyDescent="0.25">
      <c r="A434" s="277" t="s">
        <v>799</v>
      </c>
      <c r="B434" s="157" t="s">
        <v>800</v>
      </c>
      <c r="C434" s="175">
        <v>1300</v>
      </c>
      <c r="D434" s="165"/>
    </row>
    <row r="435" spans="1:10" ht="15.75" customHeight="1" thickBot="1" x14ac:dyDescent="0.3">
      <c r="A435" s="302" t="s">
        <v>801</v>
      </c>
      <c r="B435" s="303" t="s">
        <v>802</v>
      </c>
      <c r="C435" s="304">
        <v>230</v>
      </c>
      <c r="D435" s="169" t="s">
        <v>803</v>
      </c>
    </row>
    <row r="436" spans="1:10" ht="15.75" customHeight="1" thickBot="1" x14ac:dyDescent="0.3">
      <c r="A436" s="497" t="s">
        <v>83</v>
      </c>
      <c r="B436" s="498"/>
      <c r="C436" s="305">
        <f>SUM(C397:C435)</f>
        <v>207685</v>
      </c>
      <c r="D436" s="306"/>
    </row>
    <row r="437" spans="1:10" ht="15.75" customHeight="1" x14ac:dyDescent="0.25"/>
    <row r="438" spans="1:10" ht="15.75" customHeight="1" thickBot="1" x14ac:dyDescent="0.3"/>
    <row r="439" spans="1:10" ht="15.75" customHeight="1" x14ac:dyDescent="0.25">
      <c r="A439" s="487" t="s">
        <v>838</v>
      </c>
      <c r="B439" s="488"/>
      <c r="C439" s="488"/>
      <c r="D439" s="489"/>
      <c r="G439" s="487" t="s">
        <v>894</v>
      </c>
      <c r="H439" s="488"/>
      <c r="I439" s="488"/>
      <c r="J439" s="489"/>
    </row>
    <row r="440" spans="1:10" ht="15.75" customHeight="1" thickBot="1" x14ac:dyDescent="0.3">
      <c r="A440" s="275" t="s">
        <v>210</v>
      </c>
      <c r="B440" s="151" t="s">
        <v>211</v>
      </c>
      <c r="C440" s="152" t="s">
        <v>212</v>
      </c>
      <c r="D440" s="276" t="s">
        <v>213</v>
      </c>
      <c r="G440" s="311" t="s">
        <v>210</v>
      </c>
      <c r="H440" s="307" t="s">
        <v>211</v>
      </c>
      <c r="I440" s="312" t="s">
        <v>212</v>
      </c>
      <c r="J440" s="313" t="s">
        <v>213</v>
      </c>
    </row>
    <row r="441" spans="1:10" ht="15.75" customHeight="1" x14ac:dyDescent="0.25">
      <c r="A441" s="277" t="s">
        <v>839</v>
      </c>
      <c r="B441" s="157" t="s">
        <v>271</v>
      </c>
      <c r="C441" s="175">
        <v>15000</v>
      </c>
      <c r="D441" s="165"/>
      <c r="G441" s="314">
        <v>45967</v>
      </c>
      <c r="H441" s="160" t="s">
        <v>895</v>
      </c>
      <c r="I441" s="139">
        <v>5.9</v>
      </c>
      <c r="J441" s="162"/>
    </row>
    <row r="442" spans="1:10" ht="15.75" customHeight="1" x14ac:dyDescent="0.25">
      <c r="A442" s="277" t="s">
        <v>839</v>
      </c>
      <c r="B442" s="157" t="s">
        <v>840</v>
      </c>
      <c r="C442" s="175">
        <v>1300</v>
      </c>
      <c r="D442" s="165"/>
      <c r="G442" s="277">
        <v>45968</v>
      </c>
      <c r="H442" s="145" t="s">
        <v>896</v>
      </c>
      <c r="I442" s="139">
        <v>1.35</v>
      </c>
      <c r="J442" s="165"/>
    </row>
    <row r="443" spans="1:10" ht="15.75" customHeight="1" x14ac:dyDescent="0.25">
      <c r="A443" s="277" t="s">
        <v>839</v>
      </c>
      <c r="B443" s="157" t="s">
        <v>841</v>
      </c>
      <c r="C443" s="175">
        <v>130</v>
      </c>
      <c r="D443" s="165"/>
      <c r="G443" s="277">
        <v>45982</v>
      </c>
      <c r="H443" s="145" t="s">
        <v>897</v>
      </c>
      <c r="I443" s="139">
        <v>5.9</v>
      </c>
      <c r="J443" s="165"/>
    </row>
    <row r="444" spans="1:10" ht="15.75" customHeight="1" x14ac:dyDescent="0.25">
      <c r="A444" s="277" t="s">
        <v>842</v>
      </c>
      <c r="B444" s="157" t="s">
        <v>271</v>
      </c>
      <c r="C444" s="175">
        <v>8800</v>
      </c>
      <c r="D444" s="165"/>
      <c r="G444" s="277">
        <v>45982</v>
      </c>
      <c r="H444" s="145" t="s">
        <v>898</v>
      </c>
      <c r="I444" s="139">
        <v>5.9</v>
      </c>
      <c r="J444" s="165"/>
    </row>
    <row r="445" spans="1:10" ht="15.75" customHeight="1" x14ac:dyDescent="0.25">
      <c r="A445" s="277" t="s">
        <v>842</v>
      </c>
      <c r="B445" s="157" t="s">
        <v>259</v>
      </c>
      <c r="C445" s="175">
        <v>2000</v>
      </c>
      <c r="D445" s="165" t="s">
        <v>764</v>
      </c>
      <c r="G445" s="277">
        <v>45982</v>
      </c>
      <c r="H445" s="145" t="s">
        <v>835</v>
      </c>
      <c r="I445" s="139">
        <v>9712</v>
      </c>
      <c r="J445" s="165"/>
    </row>
    <row r="446" spans="1:10" ht="15.75" customHeight="1" thickBot="1" x14ac:dyDescent="0.3">
      <c r="A446" s="277" t="s">
        <v>843</v>
      </c>
      <c r="B446" s="157" t="s">
        <v>393</v>
      </c>
      <c r="C446" s="175">
        <v>1000</v>
      </c>
      <c r="D446" s="165"/>
      <c r="G446" s="278">
        <v>45986</v>
      </c>
      <c r="H446" s="315" t="s">
        <v>836</v>
      </c>
      <c r="I446" s="139">
        <v>53489</v>
      </c>
      <c r="J446" s="281"/>
    </row>
    <row r="447" spans="1:10" ht="15.75" customHeight="1" thickBot="1" x14ac:dyDescent="0.3">
      <c r="A447" s="277" t="s">
        <v>843</v>
      </c>
      <c r="B447" s="157" t="s">
        <v>844</v>
      </c>
      <c r="C447" s="175">
        <v>5000</v>
      </c>
      <c r="D447" s="165"/>
      <c r="G447" s="309"/>
      <c r="H447" s="207"/>
      <c r="I447" s="316">
        <f>SUM(I441:I446)</f>
        <v>63220.05</v>
      </c>
      <c r="J447" s="173"/>
    </row>
    <row r="448" spans="1:10" ht="15.75" customHeight="1" x14ac:dyDescent="0.25">
      <c r="A448" s="277" t="s">
        <v>843</v>
      </c>
      <c r="B448" s="157" t="s">
        <v>845</v>
      </c>
      <c r="C448" s="175">
        <v>1200</v>
      </c>
      <c r="D448" s="165"/>
    </row>
    <row r="449" spans="1:4" ht="15.75" customHeight="1" x14ac:dyDescent="0.25">
      <c r="A449" s="277" t="s">
        <v>843</v>
      </c>
      <c r="B449" s="157" t="s">
        <v>763</v>
      </c>
      <c r="C449" s="175">
        <v>300</v>
      </c>
      <c r="D449" s="165" t="s">
        <v>534</v>
      </c>
    </row>
    <row r="450" spans="1:4" ht="15.75" customHeight="1" x14ac:dyDescent="0.25">
      <c r="A450" s="277" t="s">
        <v>843</v>
      </c>
      <c r="B450" s="157" t="s">
        <v>846</v>
      </c>
      <c r="C450" s="175">
        <v>480</v>
      </c>
      <c r="D450" s="165"/>
    </row>
    <row r="451" spans="1:4" ht="15.75" customHeight="1" x14ac:dyDescent="0.25">
      <c r="A451" s="277" t="s">
        <v>847</v>
      </c>
      <c r="B451" s="157" t="s">
        <v>848</v>
      </c>
      <c r="C451" s="175">
        <v>5700</v>
      </c>
      <c r="D451" s="165"/>
    </row>
    <row r="452" spans="1:4" ht="15.75" customHeight="1" x14ac:dyDescent="0.25">
      <c r="A452" s="277" t="s">
        <v>847</v>
      </c>
      <c r="B452" s="157" t="s">
        <v>849</v>
      </c>
      <c r="C452" s="175">
        <v>6000</v>
      </c>
      <c r="D452" s="165"/>
    </row>
    <row r="453" spans="1:4" ht="15.75" customHeight="1" x14ac:dyDescent="0.25">
      <c r="A453" s="277" t="s">
        <v>850</v>
      </c>
      <c r="B453" s="157" t="s">
        <v>851</v>
      </c>
      <c r="C453" s="175">
        <v>6000</v>
      </c>
      <c r="D453" s="165"/>
    </row>
    <row r="454" spans="1:4" ht="15.75" customHeight="1" x14ac:dyDescent="0.25">
      <c r="A454" s="277" t="s">
        <v>852</v>
      </c>
      <c r="B454" s="157" t="s">
        <v>851</v>
      </c>
      <c r="C454" s="175">
        <v>17000</v>
      </c>
      <c r="D454" s="165"/>
    </row>
    <row r="455" spans="1:4" ht="15.75" customHeight="1" x14ac:dyDescent="0.25">
      <c r="A455" s="277" t="s">
        <v>853</v>
      </c>
      <c r="B455" s="157" t="s">
        <v>849</v>
      </c>
      <c r="C455" s="175">
        <v>3000</v>
      </c>
      <c r="D455" s="165"/>
    </row>
    <row r="456" spans="1:4" ht="15.75" customHeight="1" x14ac:dyDescent="0.25">
      <c r="A456" s="277" t="s">
        <v>853</v>
      </c>
      <c r="B456" s="157" t="s">
        <v>854</v>
      </c>
      <c r="C456" s="175">
        <v>500</v>
      </c>
      <c r="D456" s="165"/>
    </row>
    <row r="457" spans="1:4" ht="15.75" customHeight="1" x14ac:dyDescent="0.25">
      <c r="A457" s="277" t="s">
        <v>853</v>
      </c>
      <c r="B457" s="157" t="s">
        <v>855</v>
      </c>
      <c r="C457" s="175">
        <v>550</v>
      </c>
      <c r="D457" s="165"/>
    </row>
    <row r="458" spans="1:4" ht="15.75" customHeight="1" x14ac:dyDescent="0.25">
      <c r="A458" s="277" t="s">
        <v>853</v>
      </c>
      <c r="B458" s="157" t="s">
        <v>856</v>
      </c>
      <c r="C458" s="175">
        <v>16000</v>
      </c>
      <c r="D458" s="165"/>
    </row>
    <row r="459" spans="1:4" ht="15.75" customHeight="1" x14ac:dyDescent="0.25">
      <c r="A459" s="277" t="s">
        <v>853</v>
      </c>
      <c r="B459" s="157" t="s">
        <v>430</v>
      </c>
      <c r="C459" s="175">
        <v>23330</v>
      </c>
      <c r="D459" s="165"/>
    </row>
    <row r="460" spans="1:4" ht="15.75" customHeight="1" x14ac:dyDescent="0.25">
      <c r="A460" s="277" t="s">
        <v>853</v>
      </c>
      <c r="B460" s="157" t="s">
        <v>857</v>
      </c>
      <c r="C460" s="175">
        <v>1200</v>
      </c>
      <c r="D460" s="165"/>
    </row>
    <row r="461" spans="1:4" ht="15.75" customHeight="1" x14ac:dyDescent="0.25">
      <c r="A461" s="277" t="s">
        <v>853</v>
      </c>
      <c r="B461" s="157" t="s">
        <v>271</v>
      </c>
      <c r="C461" s="175">
        <v>10000</v>
      </c>
      <c r="D461" s="165"/>
    </row>
    <row r="462" spans="1:4" ht="15.75" customHeight="1" x14ac:dyDescent="0.25">
      <c r="A462" s="277" t="s">
        <v>858</v>
      </c>
      <c r="B462" s="157" t="s">
        <v>271</v>
      </c>
      <c r="C462" s="175">
        <v>22050</v>
      </c>
      <c r="D462" s="165"/>
    </row>
    <row r="463" spans="1:4" ht="15.75" customHeight="1" x14ac:dyDescent="0.25">
      <c r="A463" s="277" t="s">
        <v>858</v>
      </c>
      <c r="B463" s="157" t="s">
        <v>859</v>
      </c>
      <c r="C463" s="175">
        <v>500</v>
      </c>
      <c r="D463" s="165"/>
    </row>
    <row r="464" spans="1:4" ht="15.75" customHeight="1" x14ac:dyDescent="0.25">
      <c r="A464" s="277" t="s">
        <v>860</v>
      </c>
      <c r="B464" s="157" t="s">
        <v>393</v>
      </c>
      <c r="C464" s="175">
        <v>1000</v>
      </c>
      <c r="D464" s="165"/>
    </row>
    <row r="465" spans="1:4" ht="15.75" customHeight="1" x14ac:dyDescent="0.25">
      <c r="A465" s="277" t="s">
        <v>861</v>
      </c>
      <c r="B465" s="157" t="s">
        <v>271</v>
      </c>
      <c r="C465" s="175">
        <v>12100</v>
      </c>
      <c r="D465" s="165"/>
    </row>
    <row r="466" spans="1:4" ht="15.75" customHeight="1" x14ac:dyDescent="0.25">
      <c r="A466" s="277" t="s">
        <v>861</v>
      </c>
      <c r="B466" s="157" t="s">
        <v>862</v>
      </c>
      <c r="C466" s="175">
        <v>600</v>
      </c>
      <c r="D466" s="165"/>
    </row>
    <row r="467" spans="1:4" ht="15.75" customHeight="1" x14ac:dyDescent="0.25">
      <c r="A467" s="277" t="s">
        <v>861</v>
      </c>
      <c r="B467" s="157" t="s">
        <v>230</v>
      </c>
      <c r="C467" s="175">
        <v>2000</v>
      </c>
      <c r="D467" s="165"/>
    </row>
    <row r="468" spans="1:4" ht="15.75" customHeight="1" x14ac:dyDescent="0.25">
      <c r="A468" s="277" t="s">
        <v>863</v>
      </c>
      <c r="B468" s="157" t="s">
        <v>271</v>
      </c>
      <c r="C468" s="175">
        <v>19500</v>
      </c>
      <c r="D468" s="165"/>
    </row>
    <row r="469" spans="1:4" ht="15.75" customHeight="1" x14ac:dyDescent="0.25">
      <c r="A469" s="277" t="s">
        <v>864</v>
      </c>
      <c r="B469" s="157" t="s">
        <v>865</v>
      </c>
      <c r="C469" s="175">
        <v>1200</v>
      </c>
      <c r="D469" s="165" t="s">
        <v>866</v>
      </c>
    </row>
    <row r="470" spans="1:4" ht="15.75" customHeight="1" x14ac:dyDescent="0.25">
      <c r="A470" s="277" t="s">
        <v>864</v>
      </c>
      <c r="B470" s="157" t="s">
        <v>393</v>
      </c>
      <c r="C470" s="175">
        <v>1000</v>
      </c>
      <c r="D470" s="165"/>
    </row>
    <row r="471" spans="1:4" ht="15.75" customHeight="1" x14ac:dyDescent="0.25">
      <c r="A471" s="277" t="s">
        <v>867</v>
      </c>
      <c r="B471" s="157" t="s">
        <v>393</v>
      </c>
      <c r="C471" s="175">
        <v>1000</v>
      </c>
      <c r="D471" s="165"/>
    </row>
    <row r="472" spans="1:4" ht="15.75" customHeight="1" x14ac:dyDescent="0.25">
      <c r="A472" s="277" t="s">
        <v>868</v>
      </c>
      <c r="B472" s="157" t="s">
        <v>869</v>
      </c>
      <c r="C472" s="175">
        <v>7450</v>
      </c>
      <c r="D472" s="165" t="s">
        <v>534</v>
      </c>
    </row>
    <row r="473" spans="1:4" ht="15.75" customHeight="1" x14ac:dyDescent="0.25">
      <c r="A473" s="277" t="s">
        <v>870</v>
      </c>
      <c r="B473" s="157" t="s">
        <v>871</v>
      </c>
      <c r="C473" s="175">
        <v>2100</v>
      </c>
      <c r="D473" s="165"/>
    </row>
    <row r="474" spans="1:4" ht="15.75" customHeight="1" x14ac:dyDescent="0.25">
      <c r="A474" s="277" t="s">
        <v>872</v>
      </c>
      <c r="B474" s="157" t="s">
        <v>271</v>
      </c>
      <c r="C474" s="175">
        <v>20000</v>
      </c>
      <c r="D474" s="165"/>
    </row>
    <row r="475" spans="1:4" ht="15.75" customHeight="1" x14ac:dyDescent="0.25">
      <c r="A475" s="277" t="s">
        <v>872</v>
      </c>
      <c r="B475" s="157" t="s">
        <v>873</v>
      </c>
      <c r="C475" s="175">
        <v>5300</v>
      </c>
      <c r="D475" s="165" t="s">
        <v>874</v>
      </c>
    </row>
    <row r="476" spans="1:4" ht="15.75" customHeight="1" x14ac:dyDescent="0.25">
      <c r="A476" s="277" t="s">
        <v>875</v>
      </c>
      <c r="B476" s="157" t="s">
        <v>876</v>
      </c>
      <c r="C476" s="175">
        <v>600</v>
      </c>
      <c r="D476" s="165"/>
    </row>
    <row r="477" spans="1:4" ht="15.75" customHeight="1" x14ac:dyDescent="0.25">
      <c r="A477" s="277" t="s">
        <v>875</v>
      </c>
      <c r="B477" s="157" t="s">
        <v>259</v>
      </c>
      <c r="C477" s="175">
        <v>2000</v>
      </c>
      <c r="D477" s="165"/>
    </row>
    <row r="478" spans="1:4" ht="15.75" customHeight="1" x14ac:dyDescent="0.25">
      <c r="A478" s="277" t="s">
        <v>875</v>
      </c>
      <c r="B478" s="157" t="s">
        <v>763</v>
      </c>
      <c r="C478" s="175">
        <v>450</v>
      </c>
      <c r="D478" s="165" t="s">
        <v>764</v>
      </c>
    </row>
    <row r="479" spans="1:4" ht="15.75" customHeight="1" x14ac:dyDescent="0.25">
      <c r="A479" s="277" t="s">
        <v>875</v>
      </c>
      <c r="B479" s="157" t="s">
        <v>271</v>
      </c>
      <c r="C479" s="175">
        <v>3550</v>
      </c>
      <c r="D479" s="165"/>
    </row>
    <row r="480" spans="1:4" ht="15.75" customHeight="1" x14ac:dyDescent="0.25">
      <c r="A480" s="277" t="s">
        <v>877</v>
      </c>
      <c r="B480" s="157" t="s">
        <v>878</v>
      </c>
      <c r="C480" s="175">
        <v>180</v>
      </c>
      <c r="D480" s="165"/>
    </row>
    <row r="481" spans="1:4" ht="15.75" customHeight="1" x14ac:dyDescent="0.25">
      <c r="A481" s="277" t="s">
        <v>877</v>
      </c>
      <c r="B481" s="157" t="s">
        <v>230</v>
      </c>
      <c r="C481" s="175">
        <v>5000</v>
      </c>
      <c r="D481" s="165"/>
    </row>
    <row r="482" spans="1:4" ht="15.75" customHeight="1" x14ac:dyDescent="0.25">
      <c r="A482" s="277" t="s">
        <v>877</v>
      </c>
      <c r="B482" s="157" t="s">
        <v>879</v>
      </c>
      <c r="C482" s="175">
        <v>2700</v>
      </c>
      <c r="D482" s="165"/>
    </row>
    <row r="483" spans="1:4" ht="15.75" customHeight="1" x14ac:dyDescent="0.25">
      <c r="A483" s="277" t="s">
        <v>880</v>
      </c>
      <c r="B483" s="157" t="s">
        <v>393</v>
      </c>
      <c r="C483" s="175">
        <v>1000</v>
      </c>
      <c r="D483" s="165"/>
    </row>
    <row r="484" spans="1:4" ht="15.75" customHeight="1" x14ac:dyDescent="0.25">
      <c r="A484" s="277" t="s">
        <v>880</v>
      </c>
      <c r="B484" s="157" t="s">
        <v>881</v>
      </c>
      <c r="C484" s="175">
        <v>5300</v>
      </c>
      <c r="D484" s="165"/>
    </row>
    <row r="485" spans="1:4" ht="15.75" customHeight="1" x14ac:dyDescent="0.25">
      <c r="A485" s="277" t="s">
        <v>882</v>
      </c>
      <c r="B485" s="157" t="s">
        <v>883</v>
      </c>
      <c r="C485" s="175">
        <v>36000</v>
      </c>
      <c r="D485" s="165"/>
    </row>
    <row r="486" spans="1:4" ht="15.75" customHeight="1" x14ac:dyDescent="0.25">
      <c r="A486" s="277" t="s">
        <v>884</v>
      </c>
      <c r="B486" s="157" t="s">
        <v>763</v>
      </c>
      <c r="C486" s="175">
        <v>200</v>
      </c>
      <c r="D486" s="165" t="s">
        <v>885</v>
      </c>
    </row>
    <row r="487" spans="1:4" ht="15.75" customHeight="1" x14ac:dyDescent="0.25">
      <c r="A487" s="277" t="s">
        <v>884</v>
      </c>
      <c r="B487" s="157" t="s">
        <v>886</v>
      </c>
      <c r="C487" s="175">
        <v>400</v>
      </c>
      <c r="D487" s="165"/>
    </row>
    <row r="488" spans="1:4" ht="15.75" customHeight="1" x14ac:dyDescent="0.25">
      <c r="A488" s="277" t="s">
        <v>887</v>
      </c>
      <c r="B488" s="157" t="s">
        <v>888</v>
      </c>
      <c r="C488" s="175">
        <v>4000</v>
      </c>
      <c r="D488" s="165"/>
    </row>
    <row r="489" spans="1:4" ht="15.75" customHeight="1" x14ac:dyDescent="0.25">
      <c r="A489" s="277" t="s">
        <v>889</v>
      </c>
      <c r="B489" s="157" t="s">
        <v>886</v>
      </c>
      <c r="C489" s="175">
        <v>400</v>
      </c>
      <c r="D489" s="165"/>
    </row>
    <row r="490" spans="1:4" ht="15.75" customHeight="1" x14ac:dyDescent="0.25">
      <c r="A490" s="277" t="s">
        <v>889</v>
      </c>
      <c r="B490" s="157" t="s">
        <v>890</v>
      </c>
      <c r="C490" s="175">
        <v>760</v>
      </c>
      <c r="D490" s="165"/>
    </row>
    <row r="491" spans="1:4" ht="15.75" customHeight="1" x14ac:dyDescent="0.25">
      <c r="A491" s="277" t="s">
        <v>889</v>
      </c>
      <c r="B491" s="157" t="s">
        <v>891</v>
      </c>
      <c r="C491" s="175">
        <v>19900</v>
      </c>
      <c r="D491" s="165"/>
    </row>
    <row r="492" spans="1:4" ht="15.75" customHeight="1" x14ac:dyDescent="0.25">
      <c r="A492" s="277" t="s">
        <v>889</v>
      </c>
      <c r="B492" s="157" t="s">
        <v>271</v>
      </c>
      <c r="C492" s="175">
        <v>15000</v>
      </c>
      <c r="D492" s="165"/>
    </row>
    <row r="493" spans="1:4" ht="15.75" customHeight="1" x14ac:dyDescent="0.25">
      <c r="A493" s="277" t="s">
        <v>889</v>
      </c>
      <c r="B493" s="157" t="s">
        <v>783</v>
      </c>
      <c r="C493" s="175">
        <v>600</v>
      </c>
      <c r="D493" s="165"/>
    </row>
    <row r="494" spans="1:4" ht="15.75" customHeight="1" x14ac:dyDescent="0.25">
      <c r="A494" s="277" t="s">
        <v>892</v>
      </c>
      <c r="B494" s="157" t="s">
        <v>886</v>
      </c>
      <c r="C494" s="175">
        <v>400</v>
      </c>
      <c r="D494" s="165"/>
    </row>
    <row r="495" spans="1:4" ht="15.75" customHeight="1" thickBot="1" x14ac:dyDescent="0.3">
      <c r="A495" s="302" t="s">
        <v>892</v>
      </c>
      <c r="B495" s="303" t="s">
        <v>393</v>
      </c>
      <c r="C495" s="304">
        <v>1000</v>
      </c>
      <c r="D495" s="169"/>
    </row>
    <row r="496" spans="1:4" ht="15.75" customHeight="1" thickBot="1" x14ac:dyDescent="0.3">
      <c r="A496" s="499" t="s">
        <v>83</v>
      </c>
      <c r="B496" s="500"/>
      <c r="C496" s="310">
        <f>SUM(C441:C495)</f>
        <v>319730</v>
      </c>
      <c r="D496" s="220"/>
    </row>
    <row r="497" spans="1:10" ht="15.75" customHeight="1" x14ac:dyDescent="0.25"/>
    <row r="498" spans="1:10" ht="15.75" customHeight="1" thickBot="1" x14ac:dyDescent="0.3"/>
    <row r="499" spans="1:10" ht="15.75" customHeight="1" thickBot="1" x14ac:dyDescent="0.3">
      <c r="A499" s="492" t="s">
        <v>955</v>
      </c>
      <c r="B499" s="493"/>
      <c r="C499" s="493"/>
      <c r="D499" s="494"/>
      <c r="G499" s="487" t="s">
        <v>1025</v>
      </c>
      <c r="H499" s="488"/>
      <c r="I499" s="488"/>
      <c r="J499" s="489"/>
    </row>
    <row r="500" spans="1:10" ht="15.75" customHeight="1" thickBot="1" x14ac:dyDescent="0.3">
      <c r="A500" s="384" t="s">
        <v>210</v>
      </c>
      <c r="B500" s="385" t="s">
        <v>211</v>
      </c>
      <c r="C500" s="386" t="s">
        <v>212</v>
      </c>
      <c r="D500" s="387" t="s">
        <v>213</v>
      </c>
      <c r="G500" s="311" t="s">
        <v>210</v>
      </c>
      <c r="H500" s="307" t="s">
        <v>211</v>
      </c>
      <c r="I500" s="312" t="s">
        <v>212</v>
      </c>
      <c r="J500" s="313" t="s">
        <v>213</v>
      </c>
    </row>
    <row r="501" spans="1:10" ht="15.75" customHeight="1" x14ac:dyDescent="0.25">
      <c r="A501" s="380" t="s">
        <v>956</v>
      </c>
      <c r="B501" s="381" t="s">
        <v>271</v>
      </c>
      <c r="C501" s="382">
        <v>20100</v>
      </c>
      <c r="D501" s="383"/>
      <c r="G501" s="314">
        <v>46016</v>
      </c>
      <c r="H501" s="388" t="s">
        <v>222</v>
      </c>
      <c r="I501" s="181">
        <v>50426</v>
      </c>
      <c r="J501" s="162"/>
    </row>
    <row r="502" spans="1:10" ht="15.75" customHeight="1" x14ac:dyDescent="0.25">
      <c r="A502" s="277" t="s">
        <v>956</v>
      </c>
      <c r="B502" s="157" t="s">
        <v>957</v>
      </c>
      <c r="C502" s="175">
        <v>700</v>
      </c>
      <c r="D502" s="165"/>
      <c r="G502" s="277">
        <v>46022</v>
      </c>
      <c r="H502" s="339" t="s">
        <v>1026</v>
      </c>
      <c r="I502" s="139">
        <v>452010</v>
      </c>
      <c r="J502" s="165"/>
    </row>
    <row r="503" spans="1:10" ht="15.75" customHeight="1" x14ac:dyDescent="0.25">
      <c r="A503" s="277" t="s">
        <v>956</v>
      </c>
      <c r="B503" s="157" t="s">
        <v>958</v>
      </c>
      <c r="C503" s="175">
        <v>1500</v>
      </c>
      <c r="D503" s="165"/>
      <c r="G503" s="277">
        <v>46022</v>
      </c>
      <c r="H503" s="339" t="s">
        <v>1027</v>
      </c>
      <c r="I503" s="139">
        <v>5.9</v>
      </c>
      <c r="J503" s="165"/>
    </row>
    <row r="504" spans="1:10" ht="15.75" customHeight="1" x14ac:dyDescent="0.25">
      <c r="A504" s="277" t="s">
        <v>959</v>
      </c>
      <c r="B504" s="157" t="s">
        <v>960</v>
      </c>
      <c r="C504" s="175">
        <v>500</v>
      </c>
      <c r="D504" s="165"/>
      <c r="G504" s="277">
        <v>46022</v>
      </c>
      <c r="H504" s="339" t="s">
        <v>1027</v>
      </c>
      <c r="I504" s="139">
        <v>5.9</v>
      </c>
      <c r="J504" s="165"/>
    </row>
    <row r="505" spans="1:10" ht="15.75" customHeight="1" thickBot="1" x14ac:dyDescent="0.3">
      <c r="A505" s="277" t="s">
        <v>961</v>
      </c>
      <c r="B505" s="157" t="s">
        <v>962</v>
      </c>
      <c r="C505" s="175">
        <v>590</v>
      </c>
      <c r="D505" s="165"/>
      <c r="G505" s="302">
        <v>46022</v>
      </c>
      <c r="H505" s="389" t="s">
        <v>1028</v>
      </c>
      <c r="I505" s="146">
        <v>120000</v>
      </c>
      <c r="J505" s="169"/>
    </row>
    <row r="506" spans="1:10" ht="15.75" customHeight="1" thickBot="1" x14ac:dyDescent="0.3">
      <c r="A506" s="277" t="s">
        <v>963</v>
      </c>
      <c r="B506" s="157" t="s">
        <v>230</v>
      </c>
      <c r="C506" s="175">
        <v>5000</v>
      </c>
      <c r="D506" s="165"/>
      <c r="G506" s="502" t="s">
        <v>83</v>
      </c>
      <c r="H506" s="503"/>
      <c r="I506" s="172">
        <f>SUM(I501:I505)</f>
        <v>622447.80000000005</v>
      </c>
      <c r="J506" s="173"/>
    </row>
    <row r="507" spans="1:10" ht="15.75" customHeight="1" x14ac:dyDescent="0.25">
      <c r="A507" s="277" t="s">
        <v>963</v>
      </c>
      <c r="B507" s="157" t="s">
        <v>393</v>
      </c>
      <c r="C507" s="175">
        <v>1000</v>
      </c>
      <c r="D507" s="165"/>
    </row>
    <row r="508" spans="1:10" ht="15.75" customHeight="1" x14ac:dyDescent="0.25">
      <c r="A508" s="376" t="s">
        <v>1023</v>
      </c>
      <c r="B508" s="157" t="s">
        <v>964</v>
      </c>
      <c r="C508" s="175">
        <v>10000</v>
      </c>
      <c r="D508" s="165"/>
    </row>
    <row r="509" spans="1:10" ht="15.75" customHeight="1" x14ac:dyDescent="0.25">
      <c r="A509" s="376" t="s">
        <v>1023</v>
      </c>
      <c r="B509" s="157" t="s">
        <v>960</v>
      </c>
      <c r="C509" s="175">
        <v>400</v>
      </c>
      <c r="D509" s="165"/>
    </row>
    <row r="510" spans="1:10" ht="15.75" customHeight="1" x14ac:dyDescent="0.25">
      <c r="A510" s="277" t="s">
        <v>965</v>
      </c>
      <c r="B510" s="157" t="s">
        <v>393</v>
      </c>
      <c r="C510" s="175">
        <v>1000</v>
      </c>
      <c r="D510" s="165"/>
    </row>
    <row r="511" spans="1:10" ht="15.75" customHeight="1" x14ac:dyDescent="0.25">
      <c r="A511" s="277" t="s">
        <v>965</v>
      </c>
      <c r="B511" s="157" t="s">
        <v>966</v>
      </c>
      <c r="C511" s="175">
        <v>6750</v>
      </c>
      <c r="D511" s="165"/>
    </row>
    <row r="512" spans="1:10" ht="15.75" customHeight="1" x14ac:dyDescent="0.25">
      <c r="A512" s="277" t="s">
        <v>965</v>
      </c>
      <c r="B512" s="157" t="s">
        <v>329</v>
      </c>
      <c r="C512" s="175">
        <v>300</v>
      </c>
      <c r="D512" s="165"/>
    </row>
    <row r="513" spans="1:4" ht="15.75" customHeight="1" x14ac:dyDescent="0.25">
      <c r="A513" s="277" t="s">
        <v>965</v>
      </c>
      <c r="B513" s="157" t="s">
        <v>960</v>
      </c>
      <c r="C513" s="175">
        <v>400</v>
      </c>
      <c r="D513" s="165" t="s">
        <v>967</v>
      </c>
    </row>
    <row r="514" spans="1:4" ht="15.75" customHeight="1" x14ac:dyDescent="0.25">
      <c r="A514" s="277" t="s">
        <v>965</v>
      </c>
      <c r="B514" s="157" t="s">
        <v>259</v>
      </c>
      <c r="C514" s="175">
        <v>2000</v>
      </c>
      <c r="D514" s="165" t="s">
        <v>968</v>
      </c>
    </row>
    <row r="515" spans="1:4" ht="15.75" customHeight="1" x14ac:dyDescent="0.25">
      <c r="A515" s="277" t="s">
        <v>965</v>
      </c>
      <c r="B515" s="157" t="s">
        <v>271</v>
      </c>
      <c r="C515" s="175">
        <v>20550</v>
      </c>
      <c r="D515" s="165"/>
    </row>
    <row r="516" spans="1:4" ht="15.75" customHeight="1" x14ac:dyDescent="0.25">
      <c r="A516" s="277" t="s">
        <v>965</v>
      </c>
      <c r="B516" s="157" t="s">
        <v>969</v>
      </c>
      <c r="C516" s="175">
        <v>8870</v>
      </c>
      <c r="D516" s="165"/>
    </row>
    <row r="517" spans="1:4" ht="15.75" customHeight="1" x14ac:dyDescent="0.25">
      <c r="A517" s="277" t="s">
        <v>965</v>
      </c>
      <c r="B517" s="377" t="s">
        <v>1024</v>
      </c>
      <c r="C517" s="175">
        <v>3000</v>
      </c>
      <c r="D517" s="165"/>
    </row>
    <row r="518" spans="1:4" ht="15.75" customHeight="1" x14ac:dyDescent="0.25">
      <c r="A518" s="277" t="s">
        <v>965</v>
      </c>
      <c r="B518" s="157" t="s">
        <v>970</v>
      </c>
      <c r="C518" s="175">
        <v>3500</v>
      </c>
      <c r="D518" s="165"/>
    </row>
    <row r="519" spans="1:4" ht="15.75" customHeight="1" x14ac:dyDescent="0.25">
      <c r="A519" s="277" t="s">
        <v>971</v>
      </c>
      <c r="B519" s="157" t="s">
        <v>972</v>
      </c>
      <c r="C519" s="175">
        <v>13450</v>
      </c>
      <c r="D519" s="165"/>
    </row>
    <row r="520" spans="1:4" ht="15.75" customHeight="1" x14ac:dyDescent="0.25">
      <c r="A520" s="277" t="s">
        <v>971</v>
      </c>
      <c r="B520" s="157" t="s">
        <v>973</v>
      </c>
      <c r="C520" s="175">
        <v>1000</v>
      </c>
      <c r="D520" s="165"/>
    </row>
    <row r="521" spans="1:4" ht="15.75" customHeight="1" x14ac:dyDescent="0.25">
      <c r="A521" s="277" t="s">
        <v>971</v>
      </c>
      <c r="B521" s="157" t="s">
        <v>974</v>
      </c>
      <c r="C521" s="175">
        <v>700</v>
      </c>
      <c r="D521" s="165"/>
    </row>
    <row r="522" spans="1:4" ht="15.75" customHeight="1" x14ac:dyDescent="0.25">
      <c r="A522" s="277" t="s">
        <v>971</v>
      </c>
      <c r="B522" s="157" t="s">
        <v>376</v>
      </c>
      <c r="C522" s="175">
        <v>1800</v>
      </c>
      <c r="D522" s="165"/>
    </row>
    <row r="523" spans="1:4" ht="15.75" customHeight="1" x14ac:dyDescent="0.25">
      <c r="A523" s="277" t="s">
        <v>971</v>
      </c>
      <c r="B523" s="157" t="s">
        <v>973</v>
      </c>
      <c r="C523" s="175">
        <v>600</v>
      </c>
      <c r="D523" s="165" t="s">
        <v>975</v>
      </c>
    </row>
    <row r="524" spans="1:4" ht="15.75" customHeight="1" x14ac:dyDescent="0.25">
      <c r="A524" s="277" t="s">
        <v>976</v>
      </c>
      <c r="B524" s="157" t="s">
        <v>960</v>
      </c>
      <c r="C524" s="175">
        <v>300</v>
      </c>
      <c r="D524" s="165"/>
    </row>
    <row r="525" spans="1:4" ht="15.75" customHeight="1" x14ac:dyDescent="0.25">
      <c r="A525" s="277" t="s">
        <v>977</v>
      </c>
      <c r="B525" s="157" t="s">
        <v>960</v>
      </c>
      <c r="C525" s="175">
        <v>400</v>
      </c>
      <c r="D525" s="165"/>
    </row>
    <row r="526" spans="1:4" ht="15.75" customHeight="1" x14ac:dyDescent="0.25">
      <c r="A526" s="277" t="s">
        <v>977</v>
      </c>
      <c r="B526" s="157" t="s">
        <v>393</v>
      </c>
      <c r="C526" s="175">
        <v>2000</v>
      </c>
      <c r="D526" s="165"/>
    </row>
    <row r="527" spans="1:4" ht="15.75" customHeight="1" x14ac:dyDescent="0.25">
      <c r="A527" s="277" t="s">
        <v>977</v>
      </c>
      <c r="B527" s="157" t="s">
        <v>978</v>
      </c>
      <c r="C527" s="175">
        <v>15000</v>
      </c>
      <c r="D527" s="165" t="s">
        <v>979</v>
      </c>
    </row>
    <row r="528" spans="1:4" ht="15.75" customHeight="1" x14ac:dyDescent="0.25">
      <c r="A528" s="277" t="s">
        <v>980</v>
      </c>
      <c r="B528" s="157" t="s">
        <v>970</v>
      </c>
      <c r="C528" s="175">
        <v>750</v>
      </c>
      <c r="D528" s="165"/>
    </row>
    <row r="529" spans="1:4" ht="15.75" customHeight="1" x14ac:dyDescent="0.25">
      <c r="A529" s="277" t="s">
        <v>980</v>
      </c>
      <c r="B529" s="157" t="s">
        <v>960</v>
      </c>
      <c r="C529" s="175">
        <v>300</v>
      </c>
      <c r="D529" s="165"/>
    </row>
    <row r="530" spans="1:4" ht="15.75" customHeight="1" x14ac:dyDescent="0.25">
      <c r="A530" s="277" t="s">
        <v>980</v>
      </c>
      <c r="B530" s="157" t="s">
        <v>271</v>
      </c>
      <c r="C530" s="175">
        <v>15000</v>
      </c>
      <c r="D530" s="165"/>
    </row>
    <row r="531" spans="1:4" ht="15.75" customHeight="1" x14ac:dyDescent="0.25">
      <c r="A531" s="277" t="s">
        <v>980</v>
      </c>
      <c r="B531" s="157" t="s">
        <v>981</v>
      </c>
      <c r="C531" s="175">
        <v>11000</v>
      </c>
      <c r="D531" s="165" t="s">
        <v>982</v>
      </c>
    </row>
    <row r="532" spans="1:4" ht="15.75" customHeight="1" x14ac:dyDescent="0.25">
      <c r="A532" s="277" t="s">
        <v>983</v>
      </c>
      <c r="B532" s="157" t="s">
        <v>376</v>
      </c>
      <c r="C532" s="175">
        <v>40000</v>
      </c>
      <c r="D532" s="165" t="s">
        <v>984</v>
      </c>
    </row>
    <row r="533" spans="1:4" ht="15.75" customHeight="1" x14ac:dyDescent="0.25">
      <c r="A533" s="277" t="s">
        <v>983</v>
      </c>
      <c r="B533" s="157" t="s">
        <v>960</v>
      </c>
      <c r="C533" s="175">
        <v>500</v>
      </c>
      <c r="D533" s="165"/>
    </row>
    <row r="534" spans="1:4" ht="15.75" customHeight="1" x14ac:dyDescent="0.25">
      <c r="A534" s="277" t="s">
        <v>983</v>
      </c>
      <c r="B534" s="157" t="s">
        <v>985</v>
      </c>
      <c r="C534" s="175">
        <v>500</v>
      </c>
      <c r="D534" s="165"/>
    </row>
    <row r="535" spans="1:4" ht="15.75" customHeight="1" x14ac:dyDescent="0.25">
      <c r="A535" s="277" t="s">
        <v>986</v>
      </c>
      <c r="B535" s="157" t="s">
        <v>960</v>
      </c>
      <c r="C535" s="175">
        <v>500</v>
      </c>
      <c r="D535" s="165"/>
    </row>
    <row r="536" spans="1:4" ht="15.75" customHeight="1" x14ac:dyDescent="0.25">
      <c r="A536" s="277" t="s">
        <v>987</v>
      </c>
      <c r="B536" s="157" t="s">
        <v>960</v>
      </c>
      <c r="C536" s="175">
        <v>500</v>
      </c>
      <c r="D536" s="165"/>
    </row>
    <row r="537" spans="1:4" ht="15.75" customHeight="1" x14ac:dyDescent="0.25">
      <c r="A537" s="277" t="s">
        <v>988</v>
      </c>
      <c r="B537" s="157" t="s">
        <v>271</v>
      </c>
      <c r="C537" s="175">
        <v>20000</v>
      </c>
      <c r="D537" s="165"/>
    </row>
    <row r="538" spans="1:4" ht="15.75" customHeight="1" x14ac:dyDescent="0.25">
      <c r="A538" s="277" t="s">
        <v>988</v>
      </c>
      <c r="B538" s="157" t="s">
        <v>989</v>
      </c>
      <c r="C538" s="175">
        <v>30000</v>
      </c>
      <c r="D538" s="165"/>
    </row>
    <row r="539" spans="1:4" ht="15.75" customHeight="1" x14ac:dyDescent="0.25">
      <c r="A539" s="277" t="s">
        <v>990</v>
      </c>
      <c r="B539" s="157" t="s">
        <v>960</v>
      </c>
      <c r="C539" s="175">
        <v>500</v>
      </c>
      <c r="D539" s="165"/>
    </row>
    <row r="540" spans="1:4" ht="15.75" customHeight="1" x14ac:dyDescent="0.25">
      <c r="A540" s="277" t="s">
        <v>990</v>
      </c>
      <c r="B540" s="157" t="s">
        <v>393</v>
      </c>
      <c r="C540" s="175">
        <v>1000</v>
      </c>
      <c r="D540" s="165"/>
    </row>
    <row r="541" spans="1:4" ht="15.75" customHeight="1" x14ac:dyDescent="0.25">
      <c r="A541" s="277" t="s">
        <v>990</v>
      </c>
      <c r="B541" s="157" t="s">
        <v>259</v>
      </c>
      <c r="C541" s="175">
        <v>2000</v>
      </c>
      <c r="D541" s="165"/>
    </row>
    <row r="542" spans="1:4" ht="15.75" customHeight="1" x14ac:dyDescent="0.25">
      <c r="A542" s="277" t="s">
        <v>990</v>
      </c>
      <c r="B542" s="157" t="s">
        <v>329</v>
      </c>
      <c r="C542" s="175">
        <v>450</v>
      </c>
      <c r="D542" s="165" t="s">
        <v>968</v>
      </c>
    </row>
    <row r="543" spans="1:4" ht="15.75" customHeight="1" x14ac:dyDescent="0.25">
      <c r="A543" s="277" t="s">
        <v>991</v>
      </c>
      <c r="B543" s="157" t="s">
        <v>271</v>
      </c>
      <c r="C543" s="175">
        <v>5800</v>
      </c>
      <c r="D543" s="165"/>
    </row>
    <row r="544" spans="1:4" ht="15.75" customHeight="1" x14ac:dyDescent="0.25">
      <c r="A544" s="277" t="s">
        <v>991</v>
      </c>
      <c r="B544" s="157" t="s">
        <v>992</v>
      </c>
      <c r="C544" s="175">
        <v>500</v>
      </c>
      <c r="D544" s="165" t="s">
        <v>968</v>
      </c>
    </row>
    <row r="545" spans="1:4" ht="15.75" customHeight="1" x14ac:dyDescent="0.25">
      <c r="A545" s="277" t="s">
        <v>993</v>
      </c>
      <c r="B545" s="157" t="s">
        <v>994</v>
      </c>
      <c r="C545" s="175">
        <v>5050</v>
      </c>
      <c r="D545" s="165" t="s">
        <v>995</v>
      </c>
    </row>
    <row r="546" spans="1:4" ht="15.75" customHeight="1" x14ac:dyDescent="0.25">
      <c r="A546" s="277" t="s">
        <v>993</v>
      </c>
      <c r="B546" s="157" t="s">
        <v>393</v>
      </c>
      <c r="C546" s="175">
        <v>750</v>
      </c>
      <c r="D546" s="165"/>
    </row>
    <row r="547" spans="1:4" ht="15.75" customHeight="1" x14ac:dyDescent="0.25">
      <c r="A547" s="277" t="s">
        <v>996</v>
      </c>
      <c r="B547" s="157" t="s">
        <v>994</v>
      </c>
      <c r="C547" s="175">
        <v>3050</v>
      </c>
      <c r="D547" s="165" t="s">
        <v>995</v>
      </c>
    </row>
    <row r="548" spans="1:4" ht="15.75" customHeight="1" x14ac:dyDescent="0.25">
      <c r="A548" s="277" t="s">
        <v>996</v>
      </c>
      <c r="B548" s="157" t="s">
        <v>393</v>
      </c>
      <c r="C548" s="175">
        <v>600</v>
      </c>
      <c r="D548" s="165"/>
    </row>
    <row r="549" spans="1:4" ht="15.75" customHeight="1" x14ac:dyDescent="0.25">
      <c r="A549" s="277" t="s">
        <v>998</v>
      </c>
      <c r="B549" s="157" t="s">
        <v>999</v>
      </c>
      <c r="C549" s="175">
        <v>2050</v>
      </c>
      <c r="D549" s="165"/>
    </row>
    <row r="550" spans="1:4" ht="15.75" customHeight="1" x14ac:dyDescent="0.25">
      <c r="A550" s="277" t="s">
        <v>998</v>
      </c>
      <c r="B550" s="157" t="s">
        <v>393</v>
      </c>
      <c r="C550" s="175">
        <v>750</v>
      </c>
      <c r="D550" s="165"/>
    </row>
    <row r="551" spans="1:4" ht="15.75" customHeight="1" x14ac:dyDescent="0.25">
      <c r="A551" s="277" t="s">
        <v>998</v>
      </c>
      <c r="B551" s="157" t="s">
        <v>230</v>
      </c>
      <c r="C551" s="175">
        <v>5000</v>
      </c>
      <c r="D551" s="165"/>
    </row>
    <row r="552" spans="1:4" ht="15.75" customHeight="1" x14ac:dyDescent="0.25">
      <c r="A552" s="277" t="s">
        <v>1000</v>
      </c>
      <c r="B552" s="157" t="s">
        <v>271</v>
      </c>
      <c r="C552" s="175">
        <v>19950</v>
      </c>
      <c r="D552" s="165"/>
    </row>
    <row r="553" spans="1:4" ht="15.75" customHeight="1" x14ac:dyDescent="0.25">
      <c r="A553" s="277" t="s">
        <v>1000</v>
      </c>
      <c r="B553" s="157" t="s">
        <v>1001</v>
      </c>
      <c r="C553" s="175">
        <v>22800</v>
      </c>
      <c r="D553" s="165"/>
    </row>
    <row r="554" spans="1:4" ht="15.75" customHeight="1" x14ac:dyDescent="0.25">
      <c r="A554" s="277" t="s">
        <v>1000</v>
      </c>
      <c r="B554" s="157" t="s">
        <v>1002</v>
      </c>
      <c r="C554" s="175">
        <v>4700</v>
      </c>
      <c r="D554" s="165"/>
    </row>
    <row r="555" spans="1:4" ht="15.75" customHeight="1" x14ac:dyDescent="0.25">
      <c r="A555" s="277" t="s">
        <v>1000</v>
      </c>
      <c r="B555" s="157" t="s">
        <v>1003</v>
      </c>
      <c r="C555" s="175">
        <v>2000</v>
      </c>
      <c r="D555" s="165"/>
    </row>
    <row r="556" spans="1:4" ht="15.75" customHeight="1" x14ac:dyDescent="0.25">
      <c r="A556" s="277" t="s">
        <v>1004</v>
      </c>
      <c r="B556" s="157" t="s">
        <v>1005</v>
      </c>
      <c r="C556" s="175">
        <v>9281</v>
      </c>
      <c r="D556" s="165"/>
    </row>
    <row r="557" spans="1:4" ht="15.75" customHeight="1" x14ac:dyDescent="0.25">
      <c r="A557" s="277" t="s">
        <v>1004</v>
      </c>
      <c r="B557" s="157" t="s">
        <v>393</v>
      </c>
      <c r="C557" s="175">
        <v>1000</v>
      </c>
      <c r="D557" s="165"/>
    </row>
    <row r="558" spans="1:4" ht="15.75" customHeight="1" x14ac:dyDescent="0.25">
      <c r="A558" s="277" t="s">
        <v>1004</v>
      </c>
      <c r="B558" s="157" t="s">
        <v>1006</v>
      </c>
      <c r="C558" s="175">
        <v>760</v>
      </c>
      <c r="D558" s="165"/>
    </row>
    <row r="559" spans="1:4" ht="15.75" customHeight="1" x14ac:dyDescent="0.25">
      <c r="A559" s="277" t="s">
        <v>1004</v>
      </c>
      <c r="B559" s="157" t="s">
        <v>1007</v>
      </c>
      <c r="C559" s="175">
        <v>100</v>
      </c>
      <c r="D559" s="165"/>
    </row>
    <row r="560" spans="1:4" ht="15.75" customHeight="1" x14ac:dyDescent="0.25">
      <c r="A560" s="277" t="s">
        <v>1008</v>
      </c>
      <c r="B560" s="157" t="s">
        <v>1009</v>
      </c>
      <c r="C560" s="175">
        <v>350</v>
      </c>
      <c r="D560" s="165"/>
    </row>
    <row r="561" spans="1:4" ht="15.75" customHeight="1" x14ac:dyDescent="0.25">
      <c r="A561" s="277" t="s">
        <v>1008</v>
      </c>
      <c r="B561" s="157" t="s">
        <v>997</v>
      </c>
      <c r="C561" s="175">
        <v>75000</v>
      </c>
      <c r="D561" s="165"/>
    </row>
    <row r="562" spans="1:4" ht="15.75" customHeight="1" x14ac:dyDescent="0.25">
      <c r="A562" s="277" t="s">
        <v>1008</v>
      </c>
      <c r="B562" s="157" t="s">
        <v>1010</v>
      </c>
      <c r="C562" s="175">
        <v>2950</v>
      </c>
      <c r="D562" s="165"/>
    </row>
    <row r="563" spans="1:4" ht="15.75" customHeight="1" x14ac:dyDescent="0.25">
      <c r="A563" s="277" t="s">
        <v>1008</v>
      </c>
      <c r="B563" s="157" t="s">
        <v>1011</v>
      </c>
      <c r="C563" s="175">
        <v>100</v>
      </c>
      <c r="D563" s="165"/>
    </row>
    <row r="564" spans="1:4" ht="15.75" customHeight="1" x14ac:dyDescent="0.25">
      <c r="A564" s="277" t="s">
        <v>1012</v>
      </c>
      <c r="B564" s="157" t="s">
        <v>1013</v>
      </c>
      <c r="C564" s="175">
        <v>5000</v>
      </c>
      <c r="D564" s="165"/>
    </row>
    <row r="565" spans="1:4" ht="15.75" customHeight="1" x14ac:dyDescent="0.25">
      <c r="A565" s="277" t="s">
        <v>1012</v>
      </c>
      <c r="B565" s="157" t="s">
        <v>973</v>
      </c>
      <c r="C565" s="175">
        <v>900</v>
      </c>
      <c r="D565" s="165"/>
    </row>
    <row r="566" spans="1:4" ht="15.75" customHeight="1" x14ac:dyDescent="0.25">
      <c r="A566" s="277" t="s">
        <v>1014</v>
      </c>
      <c r="B566" s="157" t="s">
        <v>271</v>
      </c>
      <c r="C566" s="175">
        <v>20000</v>
      </c>
      <c r="D566" s="165"/>
    </row>
    <row r="567" spans="1:4" ht="15.75" customHeight="1" x14ac:dyDescent="0.25">
      <c r="A567" s="277" t="s">
        <v>1015</v>
      </c>
      <c r="B567" s="157" t="s">
        <v>1016</v>
      </c>
      <c r="C567" s="175">
        <v>30000</v>
      </c>
      <c r="D567" s="165"/>
    </row>
    <row r="568" spans="1:4" ht="15.75" customHeight="1" x14ac:dyDescent="0.25">
      <c r="A568" s="277" t="s">
        <v>1015</v>
      </c>
      <c r="B568" s="157" t="s">
        <v>1017</v>
      </c>
      <c r="C568" s="175">
        <v>7500</v>
      </c>
      <c r="D568" s="165"/>
    </row>
    <row r="569" spans="1:4" ht="15.75" customHeight="1" x14ac:dyDescent="0.25">
      <c r="A569" s="277" t="s">
        <v>1015</v>
      </c>
      <c r="B569" s="157" t="s">
        <v>1018</v>
      </c>
      <c r="C569" s="175">
        <v>8000</v>
      </c>
      <c r="D569" s="165"/>
    </row>
    <row r="570" spans="1:4" ht="15.75" customHeight="1" x14ac:dyDescent="0.25">
      <c r="A570" s="277" t="s">
        <v>1015</v>
      </c>
      <c r="B570" s="157" t="s">
        <v>1019</v>
      </c>
      <c r="C570" s="175">
        <v>3500</v>
      </c>
      <c r="D570" s="165"/>
    </row>
    <row r="571" spans="1:4" ht="15.75" customHeight="1" x14ac:dyDescent="0.25">
      <c r="A571" s="277" t="s">
        <v>1015</v>
      </c>
      <c r="B571" s="157" t="s">
        <v>259</v>
      </c>
      <c r="C571" s="175">
        <v>2000</v>
      </c>
      <c r="D571" s="165"/>
    </row>
    <row r="572" spans="1:4" ht="15.75" customHeight="1" x14ac:dyDescent="0.25">
      <c r="A572" s="277" t="s">
        <v>1015</v>
      </c>
      <c r="B572" s="157" t="s">
        <v>393</v>
      </c>
      <c r="C572" s="175">
        <v>1000</v>
      </c>
      <c r="D572" s="165"/>
    </row>
    <row r="573" spans="1:4" ht="15.75" customHeight="1" x14ac:dyDescent="0.25">
      <c r="A573" s="277" t="s">
        <v>1015</v>
      </c>
      <c r="B573" s="157" t="s">
        <v>1020</v>
      </c>
      <c r="C573" s="175">
        <v>4200</v>
      </c>
      <c r="D573" s="165"/>
    </row>
    <row r="574" spans="1:4" ht="15.75" customHeight="1" thickBot="1" x14ac:dyDescent="0.3">
      <c r="A574" s="302" t="s">
        <v>1015</v>
      </c>
      <c r="B574" s="303" t="s">
        <v>1021</v>
      </c>
      <c r="C574" s="304">
        <v>20000</v>
      </c>
      <c r="D574" s="378" t="s">
        <v>1022</v>
      </c>
    </row>
    <row r="575" spans="1:4" ht="15.75" customHeight="1" thickBot="1" x14ac:dyDescent="0.3">
      <c r="A575" s="475" t="s">
        <v>83</v>
      </c>
      <c r="B575" s="501"/>
      <c r="C575" s="379">
        <f>SUM(C501:C574)</f>
        <v>509051</v>
      </c>
      <c r="D575" s="220"/>
    </row>
    <row r="576" spans="1:4" ht="15.75" customHeight="1" x14ac:dyDescent="0.25"/>
    <row r="577" spans="1:10" ht="15.75" customHeight="1" thickBot="1" x14ac:dyDescent="0.3"/>
    <row r="578" spans="1:10" ht="15.75" customHeight="1" thickBot="1" x14ac:dyDescent="0.3">
      <c r="A578" s="492" t="s">
        <v>1065</v>
      </c>
      <c r="B578" s="493"/>
      <c r="C578" s="493"/>
      <c r="D578" s="494"/>
      <c r="G578" s="487" t="s">
        <v>1066</v>
      </c>
      <c r="H578" s="488"/>
      <c r="I578" s="488"/>
      <c r="J578" s="489"/>
    </row>
    <row r="579" spans="1:10" ht="15.75" customHeight="1" thickBot="1" x14ac:dyDescent="0.3">
      <c r="A579" s="384" t="s">
        <v>210</v>
      </c>
      <c r="B579" s="385" t="s">
        <v>211</v>
      </c>
      <c r="C579" s="386" t="s">
        <v>212</v>
      </c>
      <c r="D579" s="387" t="s">
        <v>213</v>
      </c>
      <c r="G579" s="410" t="s">
        <v>210</v>
      </c>
      <c r="H579" s="411" t="s">
        <v>211</v>
      </c>
      <c r="I579" s="412" t="s">
        <v>212</v>
      </c>
      <c r="J579" s="413" t="s">
        <v>213</v>
      </c>
    </row>
    <row r="580" spans="1:10" ht="15.75" customHeight="1" x14ac:dyDescent="0.25">
      <c r="A580" s="277" t="s">
        <v>1067</v>
      </c>
      <c r="B580" s="157" t="s">
        <v>1068</v>
      </c>
      <c r="C580" s="175">
        <v>400</v>
      </c>
      <c r="D580" s="165"/>
      <c r="G580" s="179">
        <v>46028</v>
      </c>
      <c r="H580" s="160" t="s">
        <v>1120</v>
      </c>
      <c r="I580" s="181">
        <v>17.7</v>
      </c>
      <c r="J580" s="162"/>
    </row>
    <row r="581" spans="1:10" ht="15.75" customHeight="1" x14ac:dyDescent="0.25">
      <c r="A581" s="277" t="s">
        <v>1069</v>
      </c>
      <c r="B581" s="157" t="s">
        <v>329</v>
      </c>
      <c r="C581" s="175">
        <v>200</v>
      </c>
      <c r="D581" s="165" t="s">
        <v>885</v>
      </c>
      <c r="G581" s="183">
        <v>46035</v>
      </c>
      <c r="H581" s="145" t="s">
        <v>1121</v>
      </c>
      <c r="I581" s="139">
        <v>23035</v>
      </c>
      <c r="J581" s="165"/>
    </row>
    <row r="582" spans="1:10" ht="15.75" customHeight="1" x14ac:dyDescent="0.25">
      <c r="A582" s="277" t="s">
        <v>1069</v>
      </c>
      <c r="B582" s="157" t="s">
        <v>271</v>
      </c>
      <c r="C582" s="175">
        <v>10000</v>
      </c>
      <c r="D582" s="165"/>
      <c r="G582" s="183">
        <v>46035</v>
      </c>
      <c r="H582" s="145" t="s">
        <v>1122</v>
      </c>
      <c r="I582" s="139">
        <v>17556</v>
      </c>
      <c r="J582" s="165"/>
    </row>
    <row r="583" spans="1:10" ht="15.75" customHeight="1" x14ac:dyDescent="0.25">
      <c r="A583" s="277" t="s">
        <v>1069</v>
      </c>
      <c r="B583" s="157" t="s">
        <v>1070</v>
      </c>
      <c r="C583" s="175">
        <v>9000</v>
      </c>
      <c r="D583" s="165"/>
      <c r="G583" s="183">
        <v>46035</v>
      </c>
      <c r="H583" s="145" t="s">
        <v>1123</v>
      </c>
      <c r="I583" s="139">
        <v>11924</v>
      </c>
      <c r="J583" s="165"/>
    </row>
    <row r="584" spans="1:10" ht="15.75" customHeight="1" x14ac:dyDescent="0.25">
      <c r="A584" s="277" t="s">
        <v>1071</v>
      </c>
      <c r="B584" s="157" t="s">
        <v>1072</v>
      </c>
      <c r="C584" s="175">
        <v>750</v>
      </c>
      <c r="D584" s="165"/>
      <c r="G584" s="183">
        <v>46035</v>
      </c>
      <c r="H584" s="145" t="s">
        <v>1124</v>
      </c>
      <c r="I584" s="139">
        <v>16487</v>
      </c>
      <c r="J584" s="165"/>
    </row>
    <row r="585" spans="1:10" ht="15.75" customHeight="1" x14ac:dyDescent="0.25">
      <c r="A585" s="277" t="s">
        <v>1071</v>
      </c>
      <c r="B585" s="157" t="s">
        <v>1073</v>
      </c>
      <c r="C585" s="175">
        <v>300</v>
      </c>
      <c r="D585" s="165"/>
      <c r="G585" s="183">
        <v>46035</v>
      </c>
      <c r="H585" s="145" t="s">
        <v>1125</v>
      </c>
      <c r="I585" s="139">
        <v>7938</v>
      </c>
      <c r="J585" s="165"/>
    </row>
    <row r="586" spans="1:10" ht="15.75" customHeight="1" x14ac:dyDescent="0.25">
      <c r="A586" s="277" t="s">
        <v>1071</v>
      </c>
      <c r="B586" s="157" t="s">
        <v>329</v>
      </c>
      <c r="C586" s="175">
        <v>350</v>
      </c>
      <c r="D586" s="165" t="s">
        <v>1074</v>
      </c>
      <c r="G586" s="183">
        <v>46035</v>
      </c>
      <c r="H586" s="145" t="s">
        <v>1126</v>
      </c>
      <c r="I586" s="139">
        <v>6933</v>
      </c>
      <c r="J586" s="165"/>
    </row>
    <row r="587" spans="1:10" ht="15.75" customHeight="1" x14ac:dyDescent="0.25">
      <c r="A587" s="277" t="s">
        <v>1071</v>
      </c>
      <c r="B587" s="157" t="s">
        <v>271</v>
      </c>
      <c r="C587" s="175">
        <v>14700</v>
      </c>
      <c r="D587" s="165"/>
      <c r="G587" s="183">
        <v>46035</v>
      </c>
      <c r="H587" s="145" t="s">
        <v>1127</v>
      </c>
      <c r="I587" s="139">
        <v>14124</v>
      </c>
      <c r="J587" s="165"/>
    </row>
    <row r="588" spans="1:10" ht="15.75" customHeight="1" x14ac:dyDescent="0.25">
      <c r="A588" s="277" t="s">
        <v>1075</v>
      </c>
      <c r="B588" s="157" t="s">
        <v>1076</v>
      </c>
      <c r="C588" s="175">
        <v>2100</v>
      </c>
      <c r="D588" s="165"/>
      <c r="G588" s="183">
        <v>46035</v>
      </c>
      <c r="H588" s="145" t="s">
        <v>1128</v>
      </c>
      <c r="I588" s="139">
        <v>6160</v>
      </c>
      <c r="J588" s="165"/>
    </row>
    <row r="589" spans="1:10" ht="15.75" customHeight="1" x14ac:dyDescent="0.25">
      <c r="A589" s="277" t="s">
        <v>1075</v>
      </c>
      <c r="B589" s="157" t="s">
        <v>1077</v>
      </c>
      <c r="C589" s="175">
        <v>1990</v>
      </c>
      <c r="D589" s="165"/>
      <c r="G589" s="183">
        <v>46035</v>
      </c>
      <c r="H589" s="145" t="s">
        <v>1129</v>
      </c>
      <c r="I589" s="139">
        <v>8945</v>
      </c>
      <c r="J589" s="165"/>
    </row>
    <row r="590" spans="1:10" ht="15.75" customHeight="1" x14ac:dyDescent="0.25">
      <c r="A590" s="277" t="s">
        <v>1075</v>
      </c>
      <c r="B590" s="157" t="s">
        <v>1078</v>
      </c>
      <c r="C590" s="175">
        <v>750</v>
      </c>
      <c r="D590" s="165"/>
      <c r="G590" s="183">
        <v>46035</v>
      </c>
      <c r="H590" s="145" t="s">
        <v>1130</v>
      </c>
      <c r="I590" s="139">
        <v>7480</v>
      </c>
      <c r="J590" s="165"/>
    </row>
    <row r="591" spans="1:10" ht="15.75" customHeight="1" x14ac:dyDescent="0.25">
      <c r="A591" s="277" t="s">
        <v>1079</v>
      </c>
      <c r="B591" s="157" t="s">
        <v>1073</v>
      </c>
      <c r="C591" s="175">
        <v>300</v>
      </c>
      <c r="D591" s="165"/>
      <c r="G591" s="183">
        <v>46035</v>
      </c>
      <c r="H591" s="145" t="s">
        <v>1131</v>
      </c>
      <c r="I591" s="139">
        <v>10830</v>
      </c>
      <c r="J591" s="165"/>
    </row>
    <row r="592" spans="1:10" ht="15.75" customHeight="1" x14ac:dyDescent="0.25">
      <c r="A592" s="277" t="s">
        <v>1079</v>
      </c>
      <c r="B592" s="157" t="s">
        <v>413</v>
      </c>
      <c r="C592" s="175">
        <v>4000</v>
      </c>
      <c r="D592" s="165"/>
      <c r="G592" s="183">
        <v>46035</v>
      </c>
      <c r="H592" s="145" t="s">
        <v>1132</v>
      </c>
      <c r="I592" s="139">
        <v>7187</v>
      </c>
      <c r="J592" s="165"/>
    </row>
    <row r="593" spans="1:10" ht="15.75" customHeight="1" x14ac:dyDescent="0.25">
      <c r="A593" s="277" t="s">
        <v>1079</v>
      </c>
      <c r="B593" s="157" t="s">
        <v>973</v>
      </c>
      <c r="C593" s="175">
        <v>200</v>
      </c>
      <c r="D593" s="165"/>
      <c r="G593" s="183">
        <v>46035</v>
      </c>
      <c r="H593" s="145" t="s">
        <v>1133</v>
      </c>
      <c r="I593" s="139">
        <v>6160</v>
      </c>
      <c r="J593" s="165"/>
    </row>
    <row r="594" spans="1:10" ht="15.75" customHeight="1" x14ac:dyDescent="0.25">
      <c r="A594" s="277" t="s">
        <v>1079</v>
      </c>
      <c r="B594" s="157" t="s">
        <v>1080</v>
      </c>
      <c r="C594" s="175">
        <v>17420</v>
      </c>
      <c r="D594" s="165"/>
      <c r="G594" s="183">
        <v>46035</v>
      </c>
      <c r="H594" s="145" t="s">
        <v>1134</v>
      </c>
      <c r="I594" s="139">
        <v>7187</v>
      </c>
      <c r="J594" s="165"/>
    </row>
    <row r="595" spans="1:10" ht="15.75" customHeight="1" x14ac:dyDescent="0.25">
      <c r="A595" s="277" t="s">
        <v>1081</v>
      </c>
      <c r="B595" s="157" t="s">
        <v>1080</v>
      </c>
      <c r="C595" s="175">
        <v>3500</v>
      </c>
      <c r="D595" s="165"/>
      <c r="G595" s="183">
        <v>46035</v>
      </c>
      <c r="H595" s="145" t="s">
        <v>1135</v>
      </c>
      <c r="I595" s="139">
        <v>7443</v>
      </c>
      <c r="J595" s="165"/>
    </row>
    <row r="596" spans="1:10" ht="15.75" customHeight="1" x14ac:dyDescent="0.25">
      <c r="A596" s="277" t="s">
        <v>1082</v>
      </c>
      <c r="B596" s="157" t="s">
        <v>1083</v>
      </c>
      <c r="C596" s="175">
        <v>450</v>
      </c>
      <c r="D596" s="165"/>
      <c r="G596" s="183">
        <v>46035</v>
      </c>
      <c r="H596" s="145" t="s">
        <v>1136</v>
      </c>
      <c r="I596" s="139">
        <v>7600</v>
      </c>
      <c r="J596" s="165"/>
    </row>
    <row r="597" spans="1:10" ht="15.75" customHeight="1" x14ac:dyDescent="0.25">
      <c r="A597" s="277" t="s">
        <v>1082</v>
      </c>
      <c r="B597" s="157" t="s">
        <v>1073</v>
      </c>
      <c r="C597" s="175">
        <v>900</v>
      </c>
      <c r="D597" s="165"/>
      <c r="G597" s="183">
        <v>46035</v>
      </c>
      <c r="H597" s="145" t="s">
        <v>1137</v>
      </c>
      <c r="I597" s="139">
        <v>9600</v>
      </c>
      <c r="J597" s="165"/>
    </row>
    <row r="598" spans="1:10" ht="15.75" customHeight="1" x14ac:dyDescent="0.25">
      <c r="A598" s="277" t="s">
        <v>1082</v>
      </c>
      <c r="B598" s="157" t="s">
        <v>1084</v>
      </c>
      <c r="C598" s="175">
        <v>1000</v>
      </c>
      <c r="D598" s="165"/>
      <c r="G598" s="183">
        <v>46035</v>
      </c>
      <c r="H598" s="145" t="s">
        <v>1138</v>
      </c>
      <c r="I598" s="139">
        <v>12000</v>
      </c>
      <c r="J598" s="165"/>
    </row>
    <row r="599" spans="1:10" ht="15.75" customHeight="1" x14ac:dyDescent="0.25">
      <c r="A599" s="277" t="s">
        <v>1082</v>
      </c>
      <c r="B599" s="157" t="s">
        <v>1085</v>
      </c>
      <c r="C599" s="175">
        <v>700</v>
      </c>
      <c r="D599" s="165"/>
      <c r="G599" s="183">
        <v>46035</v>
      </c>
      <c r="H599" s="145" t="s">
        <v>1139</v>
      </c>
      <c r="I599" s="139">
        <v>7917</v>
      </c>
      <c r="J599" s="165"/>
    </row>
    <row r="600" spans="1:10" ht="15.75" customHeight="1" x14ac:dyDescent="0.25">
      <c r="A600" s="277" t="s">
        <v>1082</v>
      </c>
      <c r="B600" s="157" t="s">
        <v>413</v>
      </c>
      <c r="C600" s="175">
        <v>1000</v>
      </c>
      <c r="D600" s="165"/>
      <c r="G600" s="183">
        <v>46035</v>
      </c>
      <c r="H600" s="145" t="s">
        <v>1140</v>
      </c>
      <c r="I600" s="139">
        <v>8400</v>
      </c>
      <c r="J600" s="165"/>
    </row>
    <row r="601" spans="1:10" ht="15.75" customHeight="1" x14ac:dyDescent="0.25">
      <c r="A601" s="277" t="s">
        <v>1082</v>
      </c>
      <c r="B601" s="157" t="s">
        <v>413</v>
      </c>
      <c r="C601" s="175">
        <v>2030</v>
      </c>
      <c r="D601" s="165"/>
      <c r="G601" s="183">
        <v>46035</v>
      </c>
      <c r="H601" s="145" t="s">
        <v>1141</v>
      </c>
      <c r="I601" s="139">
        <v>90000</v>
      </c>
      <c r="J601" s="165"/>
    </row>
    <row r="602" spans="1:10" ht="15.75" customHeight="1" x14ac:dyDescent="0.25">
      <c r="A602" s="277" t="s">
        <v>1082</v>
      </c>
      <c r="B602" s="157" t="s">
        <v>1086</v>
      </c>
      <c r="C602" s="175">
        <v>8000</v>
      </c>
      <c r="D602" s="165"/>
      <c r="G602" s="183">
        <v>46035</v>
      </c>
      <c r="H602" s="145" t="s">
        <v>1142</v>
      </c>
      <c r="I602" s="139">
        <v>9600</v>
      </c>
      <c r="J602" s="165"/>
    </row>
    <row r="603" spans="1:10" ht="15.75" customHeight="1" x14ac:dyDescent="0.25">
      <c r="A603" s="277" t="s">
        <v>1082</v>
      </c>
      <c r="B603" s="157" t="s">
        <v>271</v>
      </c>
      <c r="C603" s="175">
        <v>10000</v>
      </c>
      <c r="D603" s="165"/>
      <c r="G603" s="183">
        <v>46043</v>
      </c>
      <c r="H603" s="145" t="s">
        <v>1143</v>
      </c>
      <c r="I603" s="139">
        <v>4349</v>
      </c>
      <c r="J603" s="165"/>
    </row>
    <row r="604" spans="1:10" ht="15.75" customHeight="1" x14ac:dyDescent="0.25">
      <c r="A604" s="277" t="s">
        <v>1082</v>
      </c>
      <c r="B604" s="157" t="s">
        <v>1080</v>
      </c>
      <c r="C604" s="175">
        <v>9420</v>
      </c>
      <c r="D604" s="165"/>
      <c r="G604" s="183">
        <v>46044</v>
      </c>
      <c r="H604" s="145" t="s">
        <v>1144</v>
      </c>
      <c r="I604" s="139">
        <v>79367</v>
      </c>
      <c r="J604" s="165"/>
    </row>
    <row r="605" spans="1:10" ht="15.75" customHeight="1" x14ac:dyDescent="0.25">
      <c r="A605" s="277" t="s">
        <v>1088</v>
      </c>
      <c r="B605" s="157" t="s">
        <v>1080</v>
      </c>
      <c r="C605" s="175">
        <v>8414</v>
      </c>
      <c r="D605" s="165"/>
      <c r="G605" s="183">
        <v>46045</v>
      </c>
      <c r="H605" s="145" t="s">
        <v>1145</v>
      </c>
      <c r="I605" s="139">
        <v>28900</v>
      </c>
      <c r="J605" s="165"/>
    </row>
    <row r="606" spans="1:10" ht="15.75" customHeight="1" x14ac:dyDescent="0.25">
      <c r="A606" s="277" t="s">
        <v>1088</v>
      </c>
      <c r="B606" s="157" t="s">
        <v>393</v>
      </c>
      <c r="C606" s="175">
        <v>1300</v>
      </c>
      <c r="D606" s="165"/>
      <c r="G606" s="183">
        <v>46045</v>
      </c>
      <c r="H606" s="145" t="s">
        <v>1146</v>
      </c>
      <c r="I606" s="139">
        <v>45015</v>
      </c>
      <c r="J606" s="165"/>
    </row>
    <row r="607" spans="1:10" ht="15.75" customHeight="1" thickBot="1" x14ac:dyDescent="0.3">
      <c r="A607" s="277" t="s">
        <v>1088</v>
      </c>
      <c r="B607" s="157" t="s">
        <v>393</v>
      </c>
      <c r="C607" s="175">
        <v>700</v>
      </c>
      <c r="D607" s="165"/>
      <c r="G607" s="214">
        <v>46052</v>
      </c>
      <c r="H607" s="167" t="s">
        <v>1147</v>
      </c>
      <c r="I607" s="146">
        <v>1000000</v>
      </c>
      <c r="J607" s="414" t="s">
        <v>1148</v>
      </c>
    </row>
    <row r="608" spans="1:10" ht="15.75" customHeight="1" thickBot="1" x14ac:dyDescent="0.3">
      <c r="A608" s="277" t="s">
        <v>1088</v>
      </c>
      <c r="B608" s="157" t="s">
        <v>1089</v>
      </c>
      <c r="C608" s="175">
        <v>471</v>
      </c>
      <c r="D608" s="165"/>
      <c r="G608" s="475" t="s">
        <v>83</v>
      </c>
      <c r="H608" s="476"/>
      <c r="I608" s="172">
        <f>SUM(I580:I607)</f>
        <v>1462154.7</v>
      </c>
      <c r="J608" s="173"/>
    </row>
    <row r="609" spans="1:4" ht="15.75" customHeight="1" x14ac:dyDescent="0.25">
      <c r="A609" s="277" t="s">
        <v>1088</v>
      </c>
      <c r="B609" s="157" t="s">
        <v>393</v>
      </c>
      <c r="C609" s="175">
        <v>500</v>
      </c>
      <c r="D609" s="165"/>
    </row>
    <row r="610" spans="1:4" ht="15.75" customHeight="1" x14ac:dyDescent="0.25">
      <c r="A610" s="277" t="s">
        <v>1088</v>
      </c>
      <c r="B610" s="157" t="s">
        <v>1090</v>
      </c>
      <c r="C610" s="175">
        <v>1925</v>
      </c>
      <c r="D610" s="165"/>
    </row>
    <row r="611" spans="1:4" ht="15.75" customHeight="1" x14ac:dyDescent="0.25">
      <c r="A611" s="277" t="s">
        <v>1088</v>
      </c>
      <c r="B611" s="157" t="s">
        <v>1073</v>
      </c>
      <c r="C611" s="175">
        <v>180</v>
      </c>
      <c r="D611" s="165"/>
    </row>
    <row r="612" spans="1:4" ht="15.75" customHeight="1" x14ac:dyDescent="0.25">
      <c r="A612" s="277" t="s">
        <v>1088</v>
      </c>
      <c r="B612" s="157" t="s">
        <v>1091</v>
      </c>
      <c r="C612" s="175">
        <v>900</v>
      </c>
      <c r="D612" s="165"/>
    </row>
    <row r="613" spans="1:4" ht="15.75" customHeight="1" x14ac:dyDescent="0.25">
      <c r="A613" s="277" t="s">
        <v>1088</v>
      </c>
      <c r="B613" s="157" t="s">
        <v>1089</v>
      </c>
      <c r="C613" s="175">
        <v>18838</v>
      </c>
      <c r="D613" s="165"/>
    </row>
    <row r="614" spans="1:4" ht="15.75" customHeight="1" x14ac:dyDescent="0.25">
      <c r="A614" s="277" t="s">
        <v>1088</v>
      </c>
      <c r="B614" s="157" t="s">
        <v>772</v>
      </c>
      <c r="C614" s="175">
        <v>1300</v>
      </c>
      <c r="D614" s="165"/>
    </row>
    <row r="615" spans="1:4" ht="15.75" customHeight="1" x14ac:dyDescent="0.25">
      <c r="A615" s="277" t="s">
        <v>1088</v>
      </c>
      <c r="B615" s="157" t="s">
        <v>1080</v>
      </c>
      <c r="C615" s="175">
        <v>15228</v>
      </c>
      <c r="D615" s="165"/>
    </row>
    <row r="616" spans="1:4" ht="15.75" customHeight="1" x14ac:dyDescent="0.25">
      <c r="A616" s="277" t="s">
        <v>1092</v>
      </c>
      <c r="B616" s="157" t="s">
        <v>1073</v>
      </c>
      <c r="C616" s="175">
        <v>860</v>
      </c>
      <c r="D616" s="165"/>
    </row>
    <row r="617" spans="1:4" ht="15.75" customHeight="1" x14ac:dyDescent="0.25">
      <c r="A617" s="277" t="s">
        <v>1092</v>
      </c>
      <c r="B617" s="157" t="s">
        <v>1073</v>
      </c>
      <c r="C617" s="175">
        <v>80</v>
      </c>
      <c r="D617" s="165"/>
    </row>
    <row r="618" spans="1:4" ht="15.75" customHeight="1" x14ac:dyDescent="0.25">
      <c r="A618" s="277" t="s">
        <v>1092</v>
      </c>
      <c r="B618" s="157" t="s">
        <v>1090</v>
      </c>
      <c r="C618" s="175">
        <v>212</v>
      </c>
      <c r="D618" s="165"/>
    </row>
    <row r="619" spans="1:4" ht="15.75" customHeight="1" x14ac:dyDescent="0.25">
      <c r="A619" s="277" t="s">
        <v>1092</v>
      </c>
      <c r="B619" s="157" t="s">
        <v>1093</v>
      </c>
      <c r="C619" s="175">
        <v>500</v>
      </c>
      <c r="D619" s="165"/>
    </row>
    <row r="620" spans="1:4" ht="15.75" customHeight="1" x14ac:dyDescent="0.25">
      <c r="A620" s="277" t="s">
        <v>1092</v>
      </c>
      <c r="B620" s="157" t="s">
        <v>1093</v>
      </c>
      <c r="C620" s="175">
        <v>300</v>
      </c>
      <c r="D620" s="165"/>
    </row>
    <row r="621" spans="1:4" ht="15.75" customHeight="1" x14ac:dyDescent="0.25">
      <c r="A621" s="277" t="s">
        <v>1092</v>
      </c>
      <c r="B621" s="157" t="s">
        <v>413</v>
      </c>
      <c r="C621" s="175">
        <v>3000</v>
      </c>
      <c r="D621" s="165" t="s">
        <v>1094</v>
      </c>
    </row>
    <row r="622" spans="1:4" ht="15.75" customHeight="1" x14ac:dyDescent="0.25">
      <c r="A622" s="277" t="s">
        <v>1092</v>
      </c>
      <c r="B622" s="157" t="s">
        <v>969</v>
      </c>
      <c r="C622" s="175">
        <v>4000</v>
      </c>
      <c r="D622" s="165"/>
    </row>
    <row r="623" spans="1:4" ht="15.75" customHeight="1" x14ac:dyDescent="0.25">
      <c r="A623" s="277" t="s">
        <v>1095</v>
      </c>
      <c r="B623" s="157" t="s">
        <v>393</v>
      </c>
      <c r="C623" s="175">
        <v>150</v>
      </c>
      <c r="D623" s="165"/>
    </row>
    <row r="624" spans="1:4" ht="15.75" customHeight="1" x14ac:dyDescent="0.25">
      <c r="A624" s="277" t="s">
        <v>1095</v>
      </c>
      <c r="B624" s="157" t="s">
        <v>393</v>
      </c>
      <c r="C624" s="175">
        <v>200</v>
      </c>
      <c r="D624" s="165"/>
    </row>
    <row r="625" spans="1:4" ht="15.75" customHeight="1" x14ac:dyDescent="0.25">
      <c r="A625" s="277" t="s">
        <v>1095</v>
      </c>
      <c r="B625" s="157" t="s">
        <v>1096</v>
      </c>
      <c r="C625" s="175">
        <v>50400</v>
      </c>
      <c r="D625" s="165"/>
    </row>
    <row r="626" spans="1:4" ht="15.75" customHeight="1" x14ac:dyDescent="0.25">
      <c r="A626" s="277" t="s">
        <v>1095</v>
      </c>
      <c r="B626" s="157" t="s">
        <v>1096</v>
      </c>
      <c r="C626" s="175">
        <v>42600</v>
      </c>
      <c r="D626" s="165"/>
    </row>
    <row r="627" spans="1:4" ht="15.75" customHeight="1" x14ac:dyDescent="0.25">
      <c r="A627" s="277" t="s">
        <v>1095</v>
      </c>
      <c r="B627" s="157" t="s">
        <v>1097</v>
      </c>
      <c r="C627" s="175">
        <v>500</v>
      </c>
      <c r="D627" s="165"/>
    </row>
    <row r="628" spans="1:4" ht="15.75" customHeight="1" x14ac:dyDescent="0.25">
      <c r="A628" s="277" t="s">
        <v>1098</v>
      </c>
      <c r="B628" s="157" t="s">
        <v>1099</v>
      </c>
      <c r="C628" s="175">
        <v>2000</v>
      </c>
      <c r="D628" s="165"/>
    </row>
    <row r="629" spans="1:4" ht="15.75" customHeight="1" x14ac:dyDescent="0.25">
      <c r="A629" s="277" t="s">
        <v>1098</v>
      </c>
      <c r="B629" s="157" t="s">
        <v>1080</v>
      </c>
      <c r="C629" s="175">
        <v>3730</v>
      </c>
      <c r="D629" s="165"/>
    </row>
    <row r="630" spans="1:4" ht="15.75" customHeight="1" x14ac:dyDescent="0.25">
      <c r="A630" s="277" t="s">
        <v>1098</v>
      </c>
      <c r="B630" s="157" t="s">
        <v>1073</v>
      </c>
      <c r="C630" s="175">
        <v>200</v>
      </c>
      <c r="D630" s="165"/>
    </row>
    <row r="631" spans="1:4" ht="15.75" customHeight="1" x14ac:dyDescent="0.25">
      <c r="A631" s="277" t="s">
        <v>1098</v>
      </c>
      <c r="B631" s="157" t="s">
        <v>1100</v>
      </c>
      <c r="C631" s="175">
        <v>2000</v>
      </c>
      <c r="D631" s="165"/>
    </row>
    <row r="632" spans="1:4" ht="15.75" customHeight="1" x14ac:dyDescent="0.25">
      <c r="A632" s="277" t="s">
        <v>1101</v>
      </c>
      <c r="B632" s="157" t="s">
        <v>1102</v>
      </c>
      <c r="C632" s="175">
        <v>1680</v>
      </c>
      <c r="D632" s="165"/>
    </row>
    <row r="633" spans="1:4" ht="15.75" customHeight="1" x14ac:dyDescent="0.25">
      <c r="A633" s="277" t="s">
        <v>1101</v>
      </c>
      <c r="B633" s="157" t="s">
        <v>1089</v>
      </c>
      <c r="C633" s="175">
        <v>471</v>
      </c>
      <c r="D633" s="165"/>
    </row>
    <row r="634" spans="1:4" ht="15.75" customHeight="1" x14ac:dyDescent="0.25">
      <c r="A634" s="277" t="s">
        <v>1101</v>
      </c>
      <c r="B634" s="157" t="s">
        <v>271</v>
      </c>
      <c r="C634" s="175">
        <v>5000</v>
      </c>
      <c r="D634" s="165"/>
    </row>
    <row r="635" spans="1:4" ht="15.75" customHeight="1" x14ac:dyDescent="0.25">
      <c r="A635" s="277" t="s">
        <v>1101</v>
      </c>
      <c r="B635" s="157" t="s">
        <v>1073</v>
      </c>
      <c r="C635" s="175">
        <v>920</v>
      </c>
      <c r="D635" s="165"/>
    </row>
    <row r="636" spans="1:4" ht="15.75" customHeight="1" x14ac:dyDescent="0.25">
      <c r="A636" s="277" t="s">
        <v>1101</v>
      </c>
      <c r="B636" s="157" t="s">
        <v>1103</v>
      </c>
      <c r="C636" s="175">
        <v>100</v>
      </c>
      <c r="D636" s="165"/>
    </row>
    <row r="637" spans="1:4" ht="15.75" customHeight="1" x14ac:dyDescent="0.25">
      <c r="A637" s="277" t="s">
        <v>1101</v>
      </c>
      <c r="B637" s="157" t="s">
        <v>1104</v>
      </c>
      <c r="C637" s="175">
        <v>300</v>
      </c>
      <c r="D637" s="165"/>
    </row>
    <row r="638" spans="1:4" ht="15.75" customHeight="1" x14ac:dyDescent="0.25">
      <c r="A638" s="277" t="s">
        <v>1105</v>
      </c>
      <c r="B638" s="157" t="s">
        <v>1073</v>
      </c>
      <c r="C638" s="175">
        <v>300</v>
      </c>
      <c r="D638" s="165"/>
    </row>
    <row r="639" spans="1:4" ht="15.75" customHeight="1" x14ac:dyDescent="0.25">
      <c r="A639" s="277" t="s">
        <v>1106</v>
      </c>
      <c r="B639" s="157" t="s">
        <v>1073</v>
      </c>
      <c r="C639" s="175">
        <v>200</v>
      </c>
      <c r="D639" s="165"/>
    </row>
    <row r="640" spans="1:4" ht="15.75" customHeight="1" x14ac:dyDescent="0.25">
      <c r="A640" s="277" t="s">
        <v>1106</v>
      </c>
      <c r="B640" s="157" t="s">
        <v>1107</v>
      </c>
      <c r="C640" s="175">
        <v>10000</v>
      </c>
      <c r="D640" s="165"/>
    </row>
    <row r="641" spans="1:4" ht="15.75" customHeight="1" x14ac:dyDescent="0.25">
      <c r="A641" s="277" t="s">
        <v>1106</v>
      </c>
      <c r="B641" s="157" t="s">
        <v>1080</v>
      </c>
      <c r="C641" s="175">
        <v>5950</v>
      </c>
      <c r="D641" s="165"/>
    </row>
    <row r="642" spans="1:4" ht="15.75" customHeight="1" x14ac:dyDescent="0.25">
      <c r="A642" s="277" t="s">
        <v>1106</v>
      </c>
      <c r="B642" s="157" t="s">
        <v>1108</v>
      </c>
      <c r="C642" s="175">
        <v>21000</v>
      </c>
      <c r="D642" s="165"/>
    </row>
    <row r="643" spans="1:4" ht="15.75" customHeight="1" x14ac:dyDescent="0.25">
      <c r="A643" s="277" t="s">
        <v>1106</v>
      </c>
      <c r="B643" s="157" t="s">
        <v>1109</v>
      </c>
      <c r="C643" s="175">
        <v>3000</v>
      </c>
      <c r="D643" s="165"/>
    </row>
    <row r="644" spans="1:4" ht="15.75" customHeight="1" x14ac:dyDescent="0.25">
      <c r="A644" s="277" t="s">
        <v>1110</v>
      </c>
      <c r="B644" s="157" t="s">
        <v>1111</v>
      </c>
      <c r="C644" s="175">
        <v>2000</v>
      </c>
      <c r="D644" s="165"/>
    </row>
    <row r="645" spans="1:4" ht="15.75" customHeight="1" x14ac:dyDescent="0.25">
      <c r="A645" s="277" t="s">
        <v>1110</v>
      </c>
      <c r="B645" s="157" t="s">
        <v>1112</v>
      </c>
      <c r="C645" s="175">
        <v>630</v>
      </c>
      <c r="D645" s="165"/>
    </row>
    <row r="646" spans="1:4" ht="15.75" customHeight="1" x14ac:dyDescent="0.25">
      <c r="A646" s="277" t="s">
        <v>1110</v>
      </c>
      <c r="B646" s="157" t="s">
        <v>1113</v>
      </c>
      <c r="C646" s="175">
        <v>2500</v>
      </c>
      <c r="D646" s="165"/>
    </row>
    <row r="647" spans="1:4" ht="15.75" customHeight="1" x14ac:dyDescent="0.25">
      <c r="A647" s="277" t="s">
        <v>1110</v>
      </c>
      <c r="B647" s="157" t="s">
        <v>1080</v>
      </c>
      <c r="C647" s="175">
        <v>2500</v>
      </c>
      <c r="D647" s="165"/>
    </row>
    <row r="648" spans="1:4" ht="15.75" customHeight="1" x14ac:dyDescent="0.25">
      <c r="A648" s="277" t="s">
        <v>1114</v>
      </c>
      <c r="B648" s="157" t="s">
        <v>1115</v>
      </c>
      <c r="C648" s="175">
        <v>20700</v>
      </c>
      <c r="D648" s="165"/>
    </row>
    <row r="649" spans="1:4" ht="15.75" customHeight="1" x14ac:dyDescent="0.25">
      <c r="A649" s="277" t="s">
        <v>1114</v>
      </c>
      <c r="B649" s="157" t="s">
        <v>1116</v>
      </c>
      <c r="C649" s="175">
        <v>1650</v>
      </c>
      <c r="D649" s="165"/>
    </row>
    <row r="650" spans="1:4" ht="15.75" customHeight="1" x14ac:dyDescent="0.25">
      <c r="A650" s="277" t="s">
        <v>1114</v>
      </c>
      <c r="B650" s="157" t="s">
        <v>1108</v>
      </c>
      <c r="C650" s="175">
        <v>1000</v>
      </c>
      <c r="D650" s="165"/>
    </row>
    <row r="651" spans="1:4" ht="15.75" customHeight="1" x14ac:dyDescent="0.25">
      <c r="A651" s="277" t="s">
        <v>1117</v>
      </c>
      <c r="B651" s="157" t="s">
        <v>1080</v>
      </c>
      <c r="C651" s="175">
        <v>8000</v>
      </c>
      <c r="D651" s="165"/>
    </row>
    <row r="652" spans="1:4" ht="15.75" customHeight="1" x14ac:dyDescent="0.25">
      <c r="A652" s="277" t="s">
        <v>1117</v>
      </c>
      <c r="B652" s="157" t="s">
        <v>1118</v>
      </c>
      <c r="C652" s="175">
        <v>200</v>
      </c>
      <c r="D652" s="165"/>
    </row>
    <row r="653" spans="1:4" ht="15.75" customHeight="1" x14ac:dyDescent="0.25">
      <c r="A653" s="277" t="s">
        <v>1117</v>
      </c>
      <c r="B653" s="157" t="s">
        <v>1087</v>
      </c>
      <c r="C653" s="175">
        <v>14000</v>
      </c>
      <c r="D653" s="165"/>
    </row>
    <row r="654" spans="1:4" ht="15.75" customHeight="1" thickBot="1" x14ac:dyDescent="0.3">
      <c r="A654" s="302" t="s">
        <v>1117</v>
      </c>
      <c r="B654" s="303" t="s">
        <v>1119</v>
      </c>
      <c r="C654" s="304">
        <v>7600</v>
      </c>
      <c r="D654" s="169"/>
    </row>
    <row r="655" spans="1:4" ht="15.75" customHeight="1" thickBot="1" x14ac:dyDescent="0.3">
      <c r="A655" s="495" t="s">
        <v>83</v>
      </c>
      <c r="B655" s="496"/>
      <c r="C655" s="305">
        <f>SUM(C580:C654)</f>
        <v>369649</v>
      </c>
      <c r="D655" s="173"/>
    </row>
    <row r="656" spans="1:4" ht="15.75" customHeight="1" x14ac:dyDescent="0.25"/>
    <row r="657" spans="1:10" ht="15.75" customHeight="1" thickBot="1" x14ac:dyDescent="0.3"/>
    <row r="658" spans="1:10" ht="15.75" customHeight="1" thickBot="1" x14ac:dyDescent="0.3">
      <c r="A658" s="482" t="s">
        <v>1197</v>
      </c>
      <c r="B658" s="483"/>
      <c r="C658" s="483"/>
      <c r="D658" s="484"/>
      <c r="G658" s="487" t="s">
        <v>1198</v>
      </c>
      <c r="H658" s="488"/>
      <c r="I658" s="488"/>
      <c r="J658" s="489"/>
    </row>
    <row r="659" spans="1:10" ht="15.75" customHeight="1" x14ac:dyDescent="0.25">
      <c r="A659" s="275" t="s">
        <v>210</v>
      </c>
      <c r="B659" s="151" t="s">
        <v>211</v>
      </c>
      <c r="C659" s="151" t="s">
        <v>212</v>
      </c>
      <c r="D659" s="276" t="s">
        <v>213</v>
      </c>
      <c r="G659" s="410" t="s">
        <v>210</v>
      </c>
      <c r="H659" s="411" t="s">
        <v>211</v>
      </c>
      <c r="I659" s="412" t="s">
        <v>212</v>
      </c>
      <c r="J659" s="413" t="s">
        <v>213</v>
      </c>
    </row>
    <row r="660" spans="1:10" ht="15.75" customHeight="1" x14ac:dyDescent="0.25">
      <c r="A660" s="277" t="s">
        <v>1166</v>
      </c>
      <c r="B660" s="157" t="s">
        <v>1167</v>
      </c>
      <c r="C660" s="434">
        <v>1400</v>
      </c>
      <c r="D660" s="165"/>
      <c r="G660" s="183">
        <v>46056</v>
      </c>
      <c r="H660" s="145" t="s">
        <v>1199</v>
      </c>
      <c r="I660" s="139">
        <v>5.9</v>
      </c>
      <c r="J660" s="165"/>
    </row>
    <row r="661" spans="1:10" ht="15.75" customHeight="1" x14ac:dyDescent="0.25">
      <c r="A661" s="277" t="s">
        <v>1166</v>
      </c>
      <c r="B661" s="157" t="s">
        <v>1073</v>
      </c>
      <c r="C661" s="434">
        <v>8000</v>
      </c>
      <c r="D661" s="165"/>
      <c r="G661" s="183">
        <v>46060</v>
      </c>
      <c r="H661" s="145" t="s">
        <v>1200</v>
      </c>
      <c r="I661" s="139">
        <v>5.9</v>
      </c>
      <c r="J661" s="165"/>
    </row>
    <row r="662" spans="1:10" ht="15.75" customHeight="1" x14ac:dyDescent="0.25">
      <c r="A662" s="277" t="s">
        <v>1166</v>
      </c>
      <c r="B662" s="157" t="s">
        <v>1168</v>
      </c>
      <c r="C662" s="434">
        <v>30000</v>
      </c>
      <c r="D662" s="165"/>
      <c r="G662" s="183">
        <v>46060</v>
      </c>
      <c r="H662" s="145" t="s">
        <v>1201</v>
      </c>
      <c r="I662" s="139">
        <v>30000</v>
      </c>
      <c r="J662" s="165" t="s">
        <v>1204</v>
      </c>
    </row>
    <row r="663" spans="1:10" ht="15.75" customHeight="1" x14ac:dyDescent="0.25">
      <c r="A663" s="277" t="s">
        <v>1166</v>
      </c>
      <c r="B663" s="157" t="s">
        <v>1167</v>
      </c>
      <c r="C663" s="434">
        <v>5230</v>
      </c>
      <c r="D663" s="165"/>
      <c r="G663" s="183">
        <v>46063</v>
      </c>
      <c r="H663" s="145" t="s">
        <v>827</v>
      </c>
      <c r="I663" s="139">
        <v>5000</v>
      </c>
      <c r="J663" s="165" t="s">
        <v>1205</v>
      </c>
    </row>
    <row r="664" spans="1:10" ht="15.75" customHeight="1" x14ac:dyDescent="0.25">
      <c r="A664" s="277" t="s">
        <v>1166</v>
      </c>
      <c r="B664" s="157" t="s">
        <v>1167</v>
      </c>
      <c r="C664" s="434">
        <v>11570</v>
      </c>
      <c r="D664" s="165"/>
      <c r="G664" s="183">
        <v>46063</v>
      </c>
      <c r="H664" s="145" t="s">
        <v>828</v>
      </c>
      <c r="I664" s="139">
        <v>22000</v>
      </c>
      <c r="J664" s="165" t="s">
        <v>1205</v>
      </c>
    </row>
    <row r="665" spans="1:10" ht="15.75" customHeight="1" x14ac:dyDescent="0.25">
      <c r="A665" s="277" t="s">
        <v>1166</v>
      </c>
      <c r="B665" s="157" t="s">
        <v>259</v>
      </c>
      <c r="C665" s="434">
        <v>2000</v>
      </c>
      <c r="D665" s="165"/>
      <c r="G665" s="183">
        <v>46064</v>
      </c>
      <c r="H665" s="145" t="s">
        <v>1202</v>
      </c>
      <c r="I665" s="139">
        <v>5100</v>
      </c>
      <c r="J665" s="165" t="s">
        <v>1206</v>
      </c>
    </row>
    <row r="666" spans="1:10" ht="15.75" customHeight="1" x14ac:dyDescent="0.25">
      <c r="A666" s="277" t="s">
        <v>1166</v>
      </c>
      <c r="B666" s="157" t="s">
        <v>1169</v>
      </c>
      <c r="C666" s="434">
        <v>20000</v>
      </c>
      <c r="D666" s="165"/>
      <c r="G666" s="183">
        <v>46065</v>
      </c>
      <c r="H666" s="145" t="s">
        <v>1203</v>
      </c>
      <c r="I666" s="139">
        <v>5200</v>
      </c>
      <c r="J666" s="165" t="s">
        <v>1206</v>
      </c>
    </row>
    <row r="667" spans="1:10" ht="15.75" customHeight="1" x14ac:dyDescent="0.25">
      <c r="A667" s="277" t="s">
        <v>1166</v>
      </c>
      <c r="B667" s="157" t="s">
        <v>1170</v>
      </c>
      <c r="C667" s="434">
        <v>3770</v>
      </c>
      <c r="D667" s="165"/>
      <c r="G667" s="183">
        <v>46065</v>
      </c>
      <c r="H667" s="145" t="s">
        <v>828</v>
      </c>
      <c r="I667" s="139">
        <v>40000</v>
      </c>
      <c r="J667" s="165" t="s">
        <v>1148</v>
      </c>
    </row>
    <row r="668" spans="1:10" ht="15.75" customHeight="1" x14ac:dyDescent="0.25">
      <c r="A668" s="277" t="s">
        <v>1166</v>
      </c>
      <c r="B668" s="157" t="s">
        <v>1171</v>
      </c>
      <c r="C668" s="434">
        <v>2500</v>
      </c>
      <c r="D668" s="165"/>
      <c r="G668" s="183">
        <v>46073</v>
      </c>
      <c r="H668" s="145" t="s">
        <v>1207</v>
      </c>
      <c r="I668" s="139">
        <v>8477</v>
      </c>
      <c r="J668" s="165"/>
    </row>
    <row r="669" spans="1:10" ht="15.75" customHeight="1" x14ac:dyDescent="0.25">
      <c r="A669" s="277" t="s">
        <v>1172</v>
      </c>
      <c r="B669" s="157" t="s">
        <v>1073</v>
      </c>
      <c r="C669" s="434">
        <v>8000</v>
      </c>
      <c r="D669" s="165"/>
      <c r="G669" s="183">
        <v>46075</v>
      </c>
      <c r="H669" s="145" t="s">
        <v>1208</v>
      </c>
      <c r="I669" s="139">
        <v>24595</v>
      </c>
      <c r="J669" s="165" t="s">
        <v>1229</v>
      </c>
    </row>
    <row r="670" spans="1:10" ht="15.75" customHeight="1" x14ac:dyDescent="0.25">
      <c r="A670" s="277" t="s">
        <v>1172</v>
      </c>
      <c r="B670" s="157" t="s">
        <v>1073</v>
      </c>
      <c r="C670" s="434">
        <v>1000</v>
      </c>
      <c r="D670" s="165"/>
      <c r="G670" s="183">
        <v>46075</v>
      </c>
      <c r="H670" s="145" t="s">
        <v>1209</v>
      </c>
      <c r="I670" s="139">
        <v>15556</v>
      </c>
      <c r="J670" s="165" t="s">
        <v>1229</v>
      </c>
    </row>
    <row r="671" spans="1:10" ht="15.75" customHeight="1" x14ac:dyDescent="0.25">
      <c r="A671" s="277" t="s">
        <v>1172</v>
      </c>
      <c r="B671" s="157" t="s">
        <v>1173</v>
      </c>
      <c r="C671" s="434">
        <v>1000</v>
      </c>
      <c r="D671" s="165"/>
      <c r="G671" s="183">
        <v>46075</v>
      </c>
      <c r="H671" s="145" t="s">
        <v>1210</v>
      </c>
      <c r="I671" s="139">
        <v>11924</v>
      </c>
      <c r="J671" s="165" t="s">
        <v>1229</v>
      </c>
    </row>
    <row r="672" spans="1:10" ht="15.75" customHeight="1" x14ac:dyDescent="0.25">
      <c r="A672" s="277" t="s">
        <v>1174</v>
      </c>
      <c r="B672" s="157" t="s">
        <v>1175</v>
      </c>
      <c r="C672" s="434">
        <v>7600</v>
      </c>
      <c r="D672" s="165"/>
      <c r="G672" s="183">
        <v>46075</v>
      </c>
      <c r="H672" s="145" t="s">
        <v>1211</v>
      </c>
      <c r="I672" s="139">
        <v>16478</v>
      </c>
      <c r="J672" s="165" t="s">
        <v>1229</v>
      </c>
    </row>
    <row r="673" spans="1:10" ht="15.75" customHeight="1" x14ac:dyDescent="0.25">
      <c r="A673" s="277" t="s">
        <v>1174</v>
      </c>
      <c r="B673" s="157" t="s">
        <v>1176</v>
      </c>
      <c r="C673" s="434">
        <v>400</v>
      </c>
      <c r="D673" s="165"/>
      <c r="G673" s="183">
        <v>46075</v>
      </c>
      <c r="H673" s="145" t="s">
        <v>1212</v>
      </c>
      <c r="I673" s="139">
        <v>4888</v>
      </c>
      <c r="J673" s="165" t="s">
        <v>1229</v>
      </c>
    </row>
    <row r="674" spans="1:10" ht="15.75" customHeight="1" x14ac:dyDescent="0.25">
      <c r="A674" s="277" t="s">
        <v>1174</v>
      </c>
      <c r="B674" s="157" t="s">
        <v>1177</v>
      </c>
      <c r="C674" s="434">
        <v>20500</v>
      </c>
      <c r="D674" s="165"/>
      <c r="G674" s="183">
        <v>46075</v>
      </c>
      <c r="H674" s="145" t="s">
        <v>1213</v>
      </c>
      <c r="I674" s="139">
        <v>8000</v>
      </c>
      <c r="J674" s="165" t="s">
        <v>1229</v>
      </c>
    </row>
    <row r="675" spans="1:10" ht="15.75" customHeight="1" x14ac:dyDescent="0.25">
      <c r="A675" s="277" t="s">
        <v>1174</v>
      </c>
      <c r="B675" s="157" t="s">
        <v>376</v>
      </c>
      <c r="C675" s="434">
        <v>4500</v>
      </c>
      <c r="D675" s="165"/>
      <c r="G675" s="183">
        <v>46075</v>
      </c>
      <c r="H675" s="145" t="s">
        <v>1214</v>
      </c>
      <c r="I675" s="139">
        <v>14124</v>
      </c>
      <c r="J675" s="165" t="s">
        <v>1229</v>
      </c>
    </row>
    <row r="676" spans="1:10" ht="15.75" customHeight="1" x14ac:dyDescent="0.25">
      <c r="A676" s="277" t="s">
        <v>1174</v>
      </c>
      <c r="B676" s="157" t="s">
        <v>1178</v>
      </c>
      <c r="C676" s="434">
        <v>5800</v>
      </c>
      <c r="D676" s="165"/>
      <c r="G676" s="183">
        <v>46075</v>
      </c>
      <c r="H676" s="145" t="s">
        <v>1215</v>
      </c>
      <c r="I676" s="139">
        <v>3080</v>
      </c>
      <c r="J676" s="165" t="s">
        <v>1229</v>
      </c>
    </row>
    <row r="677" spans="1:10" ht="15.75" customHeight="1" x14ac:dyDescent="0.25">
      <c r="A677" s="277" t="s">
        <v>1179</v>
      </c>
      <c r="B677" s="157" t="s">
        <v>1180</v>
      </c>
      <c r="C677" s="434">
        <v>4120</v>
      </c>
      <c r="D677" s="165"/>
      <c r="G677" s="183">
        <v>46075</v>
      </c>
      <c r="H677" s="145" t="s">
        <v>1216</v>
      </c>
      <c r="I677" s="139">
        <v>10830</v>
      </c>
      <c r="J677" s="165" t="s">
        <v>1229</v>
      </c>
    </row>
    <row r="678" spans="1:10" ht="15.75" customHeight="1" x14ac:dyDescent="0.25">
      <c r="A678" s="277" t="s">
        <v>1179</v>
      </c>
      <c r="B678" s="157" t="s">
        <v>1181</v>
      </c>
      <c r="C678" s="434">
        <v>5000</v>
      </c>
      <c r="D678" s="165"/>
      <c r="G678" s="183">
        <v>46075</v>
      </c>
      <c r="H678" s="145" t="s">
        <v>1217</v>
      </c>
      <c r="I678" s="139">
        <v>6955</v>
      </c>
      <c r="J678" s="165" t="s">
        <v>1229</v>
      </c>
    </row>
    <row r="679" spans="1:10" ht="15.75" customHeight="1" x14ac:dyDescent="0.25">
      <c r="A679" s="277" t="s">
        <v>1179</v>
      </c>
      <c r="B679" s="157" t="s">
        <v>1073</v>
      </c>
      <c r="C679" s="434">
        <v>1000</v>
      </c>
      <c r="D679" s="165"/>
      <c r="G679" s="183">
        <v>46075</v>
      </c>
      <c r="H679" s="145" t="s">
        <v>1218</v>
      </c>
      <c r="I679" s="139">
        <v>4512</v>
      </c>
      <c r="J679" s="165" t="s">
        <v>1229</v>
      </c>
    </row>
    <row r="680" spans="1:10" ht="15.75" customHeight="1" x14ac:dyDescent="0.25">
      <c r="A680" s="277" t="s">
        <v>1182</v>
      </c>
      <c r="B680" s="157" t="s">
        <v>376</v>
      </c>
      <c r="C680" s="434">
        <v>10000</v>
      </c>
      <c r="D680" s="165"/>
      <c r="G680" s="183">
        <v>46075</v>
      </c>
      <c r="H680" s="145" t="s">
        <v>1219</v>
      </c>
      <c r="I680" s="139">
        <v>5465</v>
      </c>
      <c r="J680" s="165" t="s">
        <v>1229</v>
      </c>
    </row>
    <row r="681" spans="1:10" ht="15.75" customHeight="1" x14ac:dyDescent="0.25">
      <c r="A681" s="277" t="s">
        <v>1182</v>
      </c>
      <c r="B681" s="157" t="s">
        <v>329</v>
      </c>
      <c r="C681" s="434">
        <v>500</v>
      </c>
      <c r="D681" s="165"/>
      <c r="G681" s="183">
        <v>46075</v>
      </c>
      <c r="H681" s="145" t="s">
        <v>1220</v>
      </c>
      <c r="I681" s="139">
        <v>5465</v>
      </c>
      <c r="J681" s="165" t="s">
        <v>1229</v>
      </c>
    </row>
    <row r="682" spans="1:10" ht="15.75" customHeight="1" x14ac:dyDescent="0.25">
      <c r="A682" s="277" t="s">
        <v>1182</v>
      </c>
      <c r="B682" s="157" t="s">
        <v>1073</v>
      </c>
      <c r="C682" s="434">
        <v>1000</v>
      </c>
      <c r="D682" s="165"/>
      <c r="G682" s="183">
        <v>46075</v>
      </c>
      <c r="H682" s="145" t="s">
        <v>1221</v>
      </c>
      <c r="I682" s="139">
        <v>9204</v>
      </c>
      <c r="J682" s="165" t="s">
        <v>1229</v>
      </c>
    </row>
    <row r="683" spans="1:10" ht="15.75" customHeight="1" x14ac:dyDescent="0.25">
      <c r="A683" s="277" t="s">
        <v>1182</v>
      </c>
      <c r="B683" s="157" t="s">
        <v>1183</v>
      </c>
      <c r="C683" s="434">
        <v>23300</v>
      </c>
      <c r="D683" s="165"/>
      <c r="G683" s="183">
        <v>46075</v>
      </c>
      <c r="H683" s="145" t="s">
        <v>1222</v>
      </c>
      <c r="I683" s="139">
        <v>10839</v>
      </c>
      <c r="J683" s="165" t="s">
        <v>1229</v>
      </c>
    </row>
    <row r="684" spans="1:10" ht="15.75" customHeight="1" x14ac:dyDescent="0.25">
      <c r="A684" s="277" t="s">
        <v>1182</v>
      </c>
      <c r="B684" s="157" t="s">
        <v>1184</v>
      </c>
      <c r="C684" s="434">
        <v>1350</v>
      </c>
      <c r="D684" s="165"/>
      <c r="G684" s="183">
        <v>46075</v>
      </c>
      <c r="H684" s="145" t="s">
        <v>1223</v>
      </c>
      <c r="I684" s="139">
        <v>6581</v>
      </c>
      <c r="J684" s="165" t="s">
        <v>1229</v>
      </c>
    </row>
    <row r="685" spans="1:10" ht="15.75" customHeight="1" x14ac:dyDescent="0.25">
      <c r="A685" s="277" t="s">
        <v>1182</v>
      </c>
      <c r="B685" s="157" t="s">
        <v>1185</v>
      </c>
      <c r="C685" s="434">
        <v>6000</v>
      </c>
      <c r="D685" s="165"/>
      <c r="G685" s="183">
        <v>46075</v>
      </c>
      <c r="H685" s="145" t="s">
        <v>1224</v>
      </c>
      <c r="I685" s="139">
        <v>6452</v>
      </c>
      <c r="J685" s="165" t="s">
        <v>1229</v>
      </c>
    </row>
    <row r="686" spans="1:10" ht="15.75" customHeight="1" x14ac:dyDescent="0.25">
      <c r="A686" s="277" t="s">
        <v>1182</v>
      </c>
      <c r="B686" s="157" t="s">
        <v>1109</v>
      </c>
      <c r="C686" s="434">
        <v>8000</v>
      </c>
      <c r="D686" s="165"/>
      <c r="G686" s="183">
        <v>46075</v>
      </c>
      <c r="H686" s="145" t="s">
        <v>1225</v>
      </c>
      <c r="I686" s="139">
        <v>2742</v>
      </c>
      <c r="J686" s="165" t="s">
        <v>1229</v>
      </c>
    </row>
    <row r="687" spans="1:10" ht="15.75" customHeight="1" x14ac:dyDescent="0.25">
      <c r="A687" s="277" t="s">
        <v>1182</v>
      </c>
      <c r="B687" s="157" t="s">
        <v>772</v>
      </c>
      <c r="C687" s="434">
        <v>55000</v>
      </c>
      <c r="D687" s="165"/>
      <c r="G687" s="183">
        <v>46075</v>
      </c>
      <c r="H687" s="145" t="s">
        <v>1226</v>
      </c>
      <c r="I687" s="139">
        <v>8516</v>
      </c>
      <c r="J687" s="165" t="s">
        <v>1229</v>
      </c>
    </row>
    <row r="688" spans="1:10" ht="15.75" customHeight="1" x14ac:dyDescent="0.25">
      <c r="A688" s="277" t="s">
        <v>1186</v>
      </c>
      <c r="B688" s="157" t="s">
        <v>1187</v>
      </c>
      <c r="C688" s="434">
        <v>12500</v>
      </c>
      <c r="D688" s="165"/>
      <c r="G688" s="183">
        <v>46075</v>
      </c>
      <c r="H688" s="145" t="s">
        <v>1227</v>
      </c>
      <c r="I688" s="139">
        <v>6968</v>
      </c>
      <c r="J688" s="165" t="s">
        <v>1229</v>
      </c>
    </row>
    <row r="689" spans="1:10" ht="15.75" customHeight="1" x14ac:dyDescent="0.25">
      <c r="A689" s="277" t="s">
        <v>1188</v>
      </c>
      <c r="B689" s="157" t="s">
        <v>1084</v>
      </c>
      <c r="C689" s="434">
        <v>150</v>
      </c>
      <c r="D689" s="165"/>
      <c r="G689" s="183">
        <v>46075</v>
      </c>
      <c r="H689" s="145" t="s">
        <v>1228</v>
      </c>
      <c r="I689" s="139">
        <v>22446</v>
      </c>
      <c r="J689" s="165" t="s">
        <v>1229</v>
      </c>
    </row>
    <row r="690" spans="1:10" ht="15.75" customHeight="1" x14ac:dyDescent="0.25">
      <c r="A690" s="277" t="s">
        <v>1188</v>
      </c>
      <c r="B690" s="157" t="s">
        <v>1189</v>
      </c>
      <c r="C690" s="434">
        <v>2060</v>
      </c>
      <c r="D690" s="165"/>
      <c r="G690" s="183">
        <v>46075</v>
      </c>
      <c r="H690" s="145" t="s">
        <v>1230</v>
      </c>
      <c r="I690" s="139">
        <v>40275</v>
      </c>
      <c r="J690" s="165" t="s">
        <v>1232</v>
      </c>
    </row>
    <row r="691" spans="1:10" ht="15.75" customHeight="1" x14ac:dyDescent="0.25">
      <c r="A691" s="277" t="s">
        <v>1188</v>
      </c>
      <c r="B691" s="157" t="s">
        <v>413</v>
      </c>
      <c r="C691" s="434">
        <v>1000</v>
      </c>
      <c r="D691" s="165"/>
      <c r="G691" s="183">
        <v>46075</v>
      </c>
      <c r="H691" s="145" t="s">
        <v>1231</v>
      </c>
      <c r="I691" s="139">
        <v>18928</v>
      </c>
      <c r="J691" s="165" t="s">
        <v>1232</v>
      </c>
    </row>
    <row r="692" spans="1:10" ht="15.75" customHeight="1" x14ac:dyDescent="0.25">
      <c r="A692" s="277" t="s">
        <v>1188</v>
      </c>
      <c r="B692" s="157" t="s">
        <v>772</v>
      </c>
      <c r="C692" s="434">
        <v>16000</v>
      </c>
      <c r="D692" s="165"/>
      <c r="G692" s="183">
        <v>46080</v>
      </c>
      <c r="H692" s="145" t="s">
        <v>827</v>
      </c>
      <c r="I692" s="139">
        <v>200000</v>
      </c>
      <c r="J692" s="165" t="s">
        <v>1233</v>
      </c>
    </row>
    <row r="693" spans="1:10" ht="15.75" customHeight="1" x14ac:dyDescent="0.25">
      <c r="A693" s="277" t="s">
        <v>1188</v>
      </c>
      <c r="B693" s="157" t="s">
        <v>1190</v>
      </c>
      <c r="C693" s="434">
        <v>2000</v>
      </c>
      <c r="D693" s="165"/>
      <c r="G693" s="183">
        <v>46081</v>
      </c>
      <c r="H693" s="145" t="s">
        <v>1234</v>
      </c>
      <c r="I693" s="139">
        <v>150000</v>
      </c>
      <c r="J693" s="165" t="s">
        <v>1235</v>
      </c>
    </row>
    <row r="694" spans="1:10" ht="15.75" customHeight="1" x14ac:dyDescent="0.25">
      <c r="A694" s="277" t="s">
        <v>1191</v>
      </c>
      <c r="B694" s="157" t="s">
        <v>329</v>
      </c>
      <c r="C694" s="434">
        <v>350</v>
      </c>
      <c r="D694" s="165"/>
      <c r="G694" s="490" t="s">
        <v>83</v>
      </c>
      <c r="H694" s="491"/>
      <c r="I694" s="436">
        <f>SUM(I660:I693)</f>
        <v>730611.8</v>
      </c>
      <c r="J694" s="145"/>
    </row>
    <row r="695" spans="1:10" ht="15.75" customHeight="1" x14ac:dyDescent="0.25">
      <c r="A695" s="277" t="s">
        <v>1191</v>
      </c>
      <c r="B695" s="157" t="s">
        <v>1192</v>
      </c>
      <c r="C695" s="434">
        <v>1650</v>
      </c>
      <c r="D695" s="165"/>
    </row>
    <row r="696" spans="1:10" ht="15.75" customHeight="1" x14ac:dyDescent="0.25">
      <c r="A696" s="277" t="s">
        <v>1193</v>
      </c>
      <c r="B696" s="157" t="s">
        <v>1073</v>
      </c>
      <c r="C696" s="434">
        <v>5000</v>
      </c>
      <c r="D696" s="165"/>
    </row>
    <row r="697" spans="1:10" ht="15.75" customHeight="1" x14ac:dyDescent="0.25">
      <c r="A697" s="277" t="s">
        <v>1193</v>
      </c>
      <c r="B697" s="157" t="s">
        <v>1194</v>
      </c>
      <c r="C697" s="434">
        <v>150</v>
      </c>
      <c r="D697" s="165"/>
    </row>
    <row r="698" spans="1:10" ht="15.75" customHeight="1" x14ac:dyDescent="0.25">
      <c r="A698" s="277" t="s">
        <v>1193</v>
      </c>
      <c r="B698" s="157" t="s">
        <v>1195</v>
      </c>
      <c r="C698" s="434">
        <v>7950</v>
      </c>
      <c r="D698" s="165"/>
    </row>
    <row r="699" spans="1:10" ht="15.75" customHeight="1" x14ac:dyDescent="0.25">
      <c r="A699" s="277" t="s">
        <v>1193</v>
      </c>
      <c r="B699" s="157" t="s">
        <v>376</v>
      </c>
      <c r="C699" s="434">
        <v>20000</v>
      </c>
      <c r="D699" s="165"/>
    </row>
    <row r="700" spans="1:10" ht="15.75" customHeight="1" thickBot="1" x14ac:dyDescent="0.3">
      <c r="A700" s="302" t="s">
        <v>1196</v>
      </c>
      <c r="B700" s="303" t="s">
        <v>1073</v>
      </c>
      <c r="C700" s="435">
        <v>3500</v>
      </c>
      <c r="D700" s="169"/>
    </row>
    <row r="701" spans="1:10" ht="15.75" customHeight="1" thickBot="1" x14ac:dyDescent="0.3">
      <c r="A701" s="485" t="s">
        <v>83</v>
      </c>
      <c r="B701" s="486"/>
      <c r="C701" s="305">
        <f>SUM(C660:C700)</f>
        <v>320850</v>
      </c>
      <c r="D701" s="306"/>
    </row>
    <row r="702" spans="1:10" ht="15.75" customHeight="1" x14ac:dyDescent="0.25"/>
    <row r="703" spans="1:10" ht="15.75" customHeight="1" x14ac:dyDescent="0.25"/>
    <row r="704" spans="1:10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</sheetData>
  <mergeCells count="121">
    <mergeCell ref="H164:K164"/>
    <mergeCell ref="A166:A168"/>
    <mergeCell ref="A170:A177"/>
    <mergeCell ref="G241:J241"/>
    <mergeCell ref="A346:D346"/>
    <mergeCell ref="G346:J346"/>
    <mergeCell ref="A290:A293"/>
    <mergeCell ref="A297:B297"/>
    <mergeCell ref="A248:A252"/>
    <mergeCell ref="A274:A275"/>
    <mergeCell ref="A277:A278"/>
    <mergeCell ref="A279:A284"/>
    <mergeCell ref="A287:A288"/>
    <mergeCell ref="F299:I299"/>
    <mergeCell ref="A306:A307"/>
    <mergeCell ref="A320:A321"/>
    <mergeCell ref="A323:A324"/>
    <mergeCell ref="A239:B239"/>
    <mergeCell ref="A241:D241"/>
    <mergeCell ref="A243:A244"/>
    <mergeCell ref="A245:A247"/>
    <mergeCell ref="A192:A193"/>
    <mergeCell ref="A194:A198"/>
    <mergeCell ref="A199:A201"/>
    <mergeCell ref="A181:A184"/>
    <mergeCell ref="A185:A187"/>
    <mergeCell ref="A395:D395"/>
    <mergeCell ref="A235:A238"/>
    <mergeCell ref="A178:A180"/>
    <mergeCell ref="A253:A254"/>
    <mergeCell ref="A255:A256"/>
    <mergeCell ref="A258:A261"/>
    <mergeCell ref="A262:A265"/>
    <mergeCell ref="A266:A267"/>
    <mergeCell ref="A268:A270"/>
    <mergeCell ref="A271:A273"/>
    <mergeCell ref="A221:A226"/>
    <mergeCell ref="A227:A230"/>
    <mergeCell ref="A232:A234"/>
    <mergeCell ref="A188:A191"/>
    <mergeCell ref="A328:A329"/>
    <mergeCell ref="A335:A336"/>
    <mergeCell ref="A340:A341"/>
    <mergeCell ref="A343:B343"/>
    <mergeCell ref="A299:D299"/>
    <mergeCell ref="A303:A304"/>
    <mergeCell ref="A202:A205"/>
    <mergeCell ref="A206:A207"/>
    <mergeCell ref="A97:A98"/>
    <mergeCell ref="A100:A102"/>
    <mergeCell ref="A104:A106"/>
    <mergeCell ref="A155:A157"/>
    <mergeCell ref="A158:A160"/>
    <mergeCell ref="A164:D164"/>
    <mergeCell ref="A142:A143"/>
    <mergeCell ref="A144:A145"/>
    <mergeCell ref="A147:A149"/>
    <mergeCell ref="A151:A154"/>
    <mergeCell ref="A107:A110"/>
    <mergeCell ref="A111:A112"/>
    <mergeCell ref="A113:A117"/>
    <mergeCell ref="A118:A122"/>
    <mergeCell ref="A123:A124"/>
    <mergeCell ref="A125:A129"/>
    <mergeCell ref="A130:A132"/>
    <mergeCell ref="A133:A135"/>
    <mergeCell ref="A136:A137"/>
    <mergeCell ref="A138:A140"/>
    <mergeCell ref="A64:A67"/>
    <mergeCell ref="A69:A70"/>
    <mergeCell ref="A72:A77"/>
    <mergeCell ref="A82:D82"/>
    <mergeCell ref="G82:J82"/>
    <mergeCell ref="A84:A85"/>
    <mergeCell ref="A86:A88"/>
    <mergeCell ref="A89:A90"/>
    <mergeCell ref="A92:A94"/>
    <mergeCell ref="A1:D1"/>
    <mergeCell ref="H1:K1"/>
    <mergeCell ref="A4:A5"/>
    <mergeCell ref="H5:H6"/>
    <mergeCell ref="A6:A9"/>
    <mergeCell ref="H7:H8"/>
    <mergeCell ref="A10:A13"/>
    <mergeCell ref="A14:A16"/>
    <mergeCell ref="A17:A19"/>
    <mergeCell ref="A20:A21"/>
    <mergeCell ref="A22:A26"/>
    <mergeCell ref="A27:A30"/>
    <mergeCell ref="A31:A33"/>
    <mergeCell ref="A35:A37"/>
    <mergeCell ref="A59:A60"/>
    <mergeCell ref="A61:A63"/>
    <mergeCell ref="A38:A42"/>
    <mergeCell ref="A43:A45"/>
    <mergeCell ref="A46:A47"/>
    <mergeCell ref="A48:A50"/>
    <mergeCell ref="A51:A53"/>
    <mergeCell ref="A54:A55"/>
    <mergeCell ref="A56:A58"/>
    <mergeCell ref="A658:D658"/>
    <mergeCell ref="A701:B701"/>
    <mergeCell ref="G658:J658"/>
    <mergeCell ref="G694:H694"/>
    <mergeCell ref="A208:A209"/>
    <mergeCell ref="A210:A213"/>
    <mergeCell ref="A214:A216"/>
    <mergeCell ref="A217:A220"/>
    <mergeCell ref="A578:D578"/>
    <mergeCell ref="G578:J578"/>
    <mergeCell ref="A655:B655"/>
    <mergeCell ref="G608:H608"/>
    <mergeCell ref="A436:B436"/>
    <mergeCell ref="G395:J395"/>
    <mergeCell ref="A439:D439"/>
    <mergeCell ref="A496:B496"/>
    <mergeCell ref="G439:J439"/>
    <mergeCell ref="A499:D499"/>
    <mergeCell ref="A575:B575"/>
    <mergeCell ref="G499:J499"/>
    <mergeCell ref="G506:H506"/>
  </mergeCells>
  <pageMargins left="0.7" right="0.7" top="0.75" bottom="0.75" header="0" footer="0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0"/>
  <sheetViews>
    <sheetView topLeftCell="A109" workbookViewId="0">
      <selection activeCell="E116" sqref="E116"/>
    </sheetView>
  </sheetViews>
  <sheetFormatPr defaultColWidth="14.42578125" defaultRowHeight="15" customHeight="1" x14ac:dyDescent="0.25"/>
  <cols>
    <col min="1" max="1" width="10.42578125" customWidth="1"/>
    <col min="2" max="2" width="31.7109375" bestFit="1" customWidth="1"/>
    <col min="3" max="3" width="15" bestFit="1" customWidth="1"/>
    <col min="4" max="4" width="10.42578125" customWidth="1"/>
    <col min="5" max="5" width="22.42578125" bestFit="1" customWidth="1"/>
    <col min="6" max="6" width="14.140625" customWidth="1"/>
    <col min="7" max="26" width="8.7109375" customWidth="1"/>
  </cols>
  <sheetData>
    <row r="1" spans="1:6" x14ac:dyDescent="0.25">
      <c r="A1" s="444" t="s">
        <v>506</v>
      </c>
      <c r="B1" s="445"/>
      <c r="C1" s="445"/>
      <c r="D1" s="445"/>
      <c r="E1" s="445"/>
      <c r="F1" s="446"/>
    </row>
    <row r="2" spans="1:6" x14ac:dyDescent="0.25">
      <c r="A2" s="115" t="s">
        <v>1</v>
      </c>
      <c r="B2" s="116" t="s">
        <v>507</v>
      </c>
      <c r="C2" s="116" t="s">
        <v>9</v>
      </c>
      <c r="D2" s="116" t="s">
        <v>1</v>
      </c>
      <c r="E2" s="116" t="s">
        <v>507</v>
      </c>
      <c r="F2" s="117" t="s">
        <v>9</v>
      </c>
    </row>
    <row r="3" spans="1:6" x14ac:dyDescent="0.25">
      <c r="A3" s="447">
        <v>45777</v>
      </c>
      <c r="B3" s="118" t="s">
        <v>508</v>
      </c>
      <c r="C3" s="29">
        <v>749780</v>
      </c>
      <c r="D3" s="119">
        <v>45777</v>
      </c>
      <c r="E3" s="120" t="s">
        <v>509</v>
      </c>
      <c r="F3" s="29">
        <v>1553708</v>
      </c>
    </row>
    <row r="4" spans="1:6" x14ac:dyDescent="0.25">
      <c r="A4" s="448"/>
      <c r="B4" s="121" t="s">
        <v>510</v>
      </c>
      <c r="C4" s="23">
        <v>859391.1</v>
      </c>
      <c r="D4" s="31"/>
      <c r="E4" s="122"/>
      <c r="F4" s="23"/>
    </row>
    <row r="5" spans="1:6" x14ac:dyDescent="0.25">
      <c r="A5" s="31"/>
      <c r="B5" s="122"/>
      <c r="C5" s="23"/>
      <c r="D5" s="31"/>
      <c r="E5" s="122"/>
      <c r="F5" s="23"/>
    </row>
    <row r="6" spans="1:6" x14ac:dyDescent="0.25">
      <c r="A6" s="119"/>
      <c r="B6" s="122"/>
      <c r="C6" s="23"/>
      <c r="D6" s="31"/>
      <c r="E6" s="122"/>
      <c r="F6" s="23"/>
    </row>
    <row r="7" spans="1:6" x14ac:dyDescent="0.25">
      <c r="A7" s="31"/>
      <c r="B7" s="88"/>
      <c r="C7" s="34"/>
      <c r="D7" s="31"/>
      <c r="E7" s="122"/>
      <c r="F7" s="23"/>
    </row>
    <row r="8" spans="1:6" x14ac:dyDescent="0.25">
      <c r="A8" s="78"/>
      <c r="B8" s="88"/>
      <c r="C8" s="34"/>
      <c r="D8" s="78"/>
      <c r="E8" s="78"/>
      <c r="F8" s="23"/>
    </row>
    <row r="9" spans="1:6" x14ac:dyDescent="0.25">
      <c r="A9" s="78"/>
      <c r="B9" s="123"/>
      <c r="C9" s="88"/>
      <c r="D9" s="124">
        <v>45777</v>
      </c>
      <c r="E9" s="125" t="s">
        <v>511</v>
      </c>
      <c r="F9" s="86">
        <f>F10-F3</f>
        <v>55463.100000000093</v>
      </c>
    </row>
    <row r="10" spans="1:6" x14ac:dyDescent="0.25">
      <c r="A10" s="78"/>
      <c r="B10" s="126"/>
      <c r="C10" s="86">
        <f>C3+C4</f>
        <v>1609171.1</v>
      </c>
      <c r="D10" s="127"/>
      <c r="E10" s="128"/>
      <c r="F10" s="86">
        <f>C10</f>
        <v>1609171.1</v>
      </c>
    </row>
    <row r="13" spans="1:6" x14ac:dyDescent="0.25">
      <c r="A13" s="444" t="s">
        <v>512</v>
      </c>
      <c r="B13" s="445"/>
      <c r="C13" s="445"/>
      <c r="D13" s="445"/>
      <c r="E13" s="445"/>
      <c r="F13" s="446"/>
    </row>
    <row r="14" spans="1:6" x14ac:dyDescent="0.25">
      <c r="A14" s="115" t="s">
        <v>1</v>
      </c>
      <c r="B14" s="116" t="s">
        <v>507</v>
      </c>
      <c r="C14" s="116" t="s">
        <v>9</v>
      </c>
      <c r="D14" s="116" t="s">
        <v>1</v>
      </c>
      <c r="E14" s="116" t="s">
        <v>507</v>
      </c>
      <c r="F14" s="117" t="s">
        <v>9</v>
      </c>
    </row>
    <row r="15" spans="1:6" x14ac:dyDescent="0.25">
      <c r="A15" s="447">
        <v>45808</v>
      </c>
      <c r="B15" s="118" t="s">
        <v>508</v>
      </c>
      <c r="C15" s="29">
        <v>596646</v>
      </c>
      <c r="D15" s="119">
        <v>45808</v>
      </c>
      <c r="E15" s="120" t="s">
        <v>509</v>
      </c>
      <c r="F15" s="29">
        <v>5705977</v>
      </c>
    </row>
    <row r="16" spans="1:6" x14ac:dyDescent="0.25">
      <c r="A16" s="448"/>
      <c r="B16" s="121" t="s">
        <v>510</v>
      </c>
      <c r="C16" s="23">
        <v>757316.5</v>
      </c>
      <c r="D16" s="31"/>
      <c r="E16" s="122"/>
      <c r="F16" s="23"/>
    </row>
    <row r="17" spans="1:6" x14ac:dyDescent="0.25">
      <c r="A17" s="31"/>
      <c r="B17" s="122"/>
      <c r="C17" s="23"/>
      <c r="D17" s="31"/>
      <c r="E17" s="122"/>
      <c r="F17" s="23"/>
    </row>
    <row r="18" spans="1:6" x14ac:dyDescent="0.25">
      <c r="A18" s="119"/>
      <c r="B18" s="122"/>
      <c r="C18" s="23"/>
      <c r="D18" s="31"/>
      <c r="E18" s="122"/>
      <c r="F18" s="23"/>
    </row>
    <row r="19" spans="1:6" x14ac:dyDescent="0.25">
      <c r="A19" s="31"/>
      <c r="B19" s="88"/>
      <c r="C19" s="34"/>
      <c r="D19" s="31"/>
      <c r="E19" s="122"/>
      <c r="F19" s="23"/>
    </row>
    <row r="20" spans="1:6" ht="15.75" thickBot="1" x14ac:dyDescent="0.3">
      <c r="A20" s="88"/>
      <c r="B20" s="88"/>
      <c r="C20" s="34"/>
      <c r="D20" s="78"/>
      <c r="E20" s="78"/>
      <c r="F20" s="34"/>
    </row>
    <row r="21" spans="1:6" ht="15.75" customHeight="1" thickBot="1" x14ac:dyDescent="0.3">
      <c r="A21" s="4">
        <v>45808</v>
      </c>
      <c r="B21" s="129" t="s">
        <v>513</v>
      </c>
      <c r="C21" s="130">
        <f>C22-C16-C15</f>
        <v>4352014.5</v>
      </c>
      <c r="D21" s="124"/>
      <c r="E21" s="125"/>
      <c r="F21" s="131"/>
    </row>
    <row r="22" spans="1:6" ht="15.75" customHeight="1" thickBot="1" x14ac:dyDescent="0.3">
      <c r="A22" s="132"/>
      <c r="B22" s="126"/>
      <c r="C22" s="133">
        <f>F22</f>
        <v>5705977</v>
      </c>
      <c r="D22" s="127"/>
      <c r="E22" s="128"/>
      <c r="F22" s="86">
        <f>F15</f>
        <v>5705977</v>
      </c>
    </row>
    <row r="23" spans="1:6" ht="15.75" customHeight="1" x14ac:dyDescent="0.25"/>
    <row r="24" spans="1:6" ht="15.75" customHeight="1" x14ac:dyDescent="0.25"/>
    <row r="25" spans="1:6" ht="15.75" customHeight="1" x14ac:dyDescent="0.25">
      <c r="A25" s="444" t="s">
        <v>514</v>
      </c>
      <c r="B25" s="445"/>
      <c r="C25" s="445"/>
      <c r="D25" s="445"/>
      <c r="E25" s="445"/>
      <c r="F25" s="446"/>
    </row>
    <row r="26" spans="1:6" ht="15.75" customHeight="1" x14ac:dyDescent="0.25">
      <c r="A26" s="115" t="s">
        <v>1</v>
      </c>
      <c r="B26" s="116" t="s">
        <v>507</v>
      </c>
      <c r="C26" s="116" t="s">
        <v>9</v>
      </c>
      <c r="D26" s="116" t="s">
        <v>1</v>
      </c>
      <c r="E26" s="116" t="s">
        <v>507</v>
      </c>
      <c r="F26" s="117" t="s">
        <v>9</v>
      </c>
    </row>
    <row r="27" spans="1:6" ht="15.75" customHeight="1" x14ac:dyDescent="0.25">
      <c r="A27" s="447" t="s">
        <v>515</v>
      </c>
      <c r="B27" s="118" t="s">
        <v>508</v>
      </c>
      <c r="C27" s="29">
        <v>784480</v>
      </c>
      <c r="D27" s="119" t="s">
        <v>515</v>
      </c>
      <c r="E27" s="120" t="s">
        <v>509</v>
      </c>
      <c r="F27" s="29">
        <v>4177280.85</v>
      </c>
    </row>
    <row r="28" spans="1:6" ht="15.75" customHeight="1" x14ac:dyDescent="0.25">
      <c r="A28" s="448"/>
      <c r="B28" s="121" t="s">
        <v>510</v>
      </c>
      <c r="C28" s="23">
        <v>273537</v>
      </c>
      <c r="D28" s="31"/>
      <c r="E28" s="122"/>
      <c r="F28" s="23"/>
    </row>
    <row r="29" spans="1:6" ht="15.75" customHeight="1" x14ac:dyDescent="0.25">
      <c r="A29" s="31"/>
      <c r="B29" s="122"/>
      <c r="C29" s="23"/>
      <c r="D29" s="31"/>
      <c r="E29" s="122"/>
      <c r="F29" s="23"/>
    </row>
    <row r="30" spans="1:6" ht="15.75" customHeight="1" x14ac:dyDescent="0.25">
      <c r="A30" s="119"/>
      <c r="B30" s="122"/>
      <c r="C30" s="23"/>
      <c r="D30" s="31"/>
      <c r="E30" s="122"/>
      <c r="F30" s="23"/>
    </row>
    <row r="31" spans="1:6" ht="15.75" customHeight="1" x14ac:dyDescent="0.25">
      <c r="A31" s="31"/>
      <c r="B31" s="88"/>
      <c r="C31" s="34"/>
      <c r="D31" s="31"/>
      <c r="E31" s="122"/>
      <c r="F31" s="23"/>
    </row>
    <row r="32" spans="1:6" ht="15.75" customHeight="1" thickBot="1" x14ac:dyDescent="0.3">
      <c r="A32" s="88"/>
      <c r="B32" s="88"/>
      <c r="C32" s="34"/>
      <c r="D32" s="78"/>
      <c r="E32" s="78"/>
      <c r="F32" s="34"/>
    </row>
    <row r="33" spans="1:6" ht="15.75" customHeight="1" thickBot="1" x14ac:dyDescent="0.3">
      <c r="A33" s="4" t="s">
        <v>515</v>
      </c>
      <c r="B33" s="129" t="s">
        <v>513</v>
      </c>
      <c r="C33" s="130">
        <f>C34-C28-C27</f>
        <v>3119263.85</v>
      </c>
      <c r="D33" s="124"/>
      <c r="E33" s="125"/>
      <c r="F33" s="131"/>
    </row>
    <row r="34" spans="1:6" ht="15.75" customHeight="1" thickBot="1" x14ac:dyDescent="0.3">
      <c r="A34" s="132"/>
      <c r="B34" s="126"/>
      <c r="C34" s="133">
        <f>F34</f>
        <v>4177280.85</v>
      </c>
      <c r="D34" s="127"/>
      <c r="E34" s="128"/>
      <c r="F34" s="86">
        <f>F27</f>
        <v>4177280.85</v>
      </c>
    </row>
    <row r="35" spans="1:6" ht="15.75" customHeight="1" x14ac:dyDescent="0.25"/>
    <row r="36" spans="1:6" ht="15.75" customHeight="1" x14ac:dyDescent="0.25"/>
    <row r="37" spans="1:6" ht="15.75" customHeight="1" x14ac:dyDescent="0.25">
      <c r="A37" s="444" t="s">
        <v>516</v>
      </c>
      <c r="B37" s="445"/>
      <c r="C37" s="445"/>
      <c r="D37" s="445"/>
      <c r="E37" s="445"/>
      <c r="F37" s="446"/>
    </row>
    <row r="38" spans="1:6" ht="15.75" customHeight="1" x14ac:dyDescent="0.25">
      <c r="A38" s="115" t="s">
        <v>1</v>
      </c>
      <c r="B38" s="116" t="s">
        <v>507</v>
      </c>
      <c r="C38" s="116" t="s">
        <v>9</v>
      </c>
      <c r="D38" s="116" t="s">
        <v>1</v>
      </c>
      <c r="E38" s="116" t="s">
        <v>507</v>
      </c>
      <c r="F38" s="117" t="s">
        <v>9</v>
      </c>
    </row>
    <row r="39" spans="1:6" ht="15.75" customHeight="1" x14ac:dyDescent="0.25">
      <c r="A39" s="447">
        <v>45869</v>
      </c>
      <c r="B39" s="118" t="s">
        <v>508</v>
      </c>
      <c r="C39" s="29">
        <v>367298</v>
      </c>
      <c r="D39" s="119">
        <v>45869</v>
      </c>
      <c r="E39" s="120" t="s">
        <v>509</v>
      </c>
      <c r="F39" s="29">
        <v>533291.5</v>
      </c>
    </row>
    <row r="40" spans="1:6" ht="15.75" customHeight="1" x14ac:dyDescent="0.25">
      <c r="A40" s="448"/>
      <c r="B40" s="121" t="s">
        <v>510</v>
      </c>
      <c r="C40" s="23">
        <v>1538252.8</v>
      </c>
      <c r="D40" s="31"/>
      <c r="E40" s="122"/>
      <c r="F40" s="23"/>
    </row>
    <row r="41" spans="1:6" ht="15.75" customHeight="1" x14ac:dyDescent="0.25">
      <c r="A41" s="31"/>
      <c r="B41" s="122"/>
      <c r="C41" s="23"/>
      <c r="D41" s="31"/>
      <c r="E41" s="122"/>
      <c r="F41" s="23"/>
    </row>
    <row r="42" spans="1:6" ht="15.75" customHeight="1" x14ac:dyDescent="0.25">
      <c r="A42" s="119"/>
      <c r="B42" s="122"/>
      <c r="C42" s="23"/>
      <c r="D42" s="31"/>
      <c r="E42" s="122"/>
      <c r="F42" s="23"/>
    </row>
    <row r="43" spans="1:6" ht="15.75" customHeight="1" x14ac:dyDescent="0.25">
      <c r="A43" s="31"/>
      <c r="B43" s="88"/>
      <c r="C43" s="34"/>
      <c r="D43" s="31"/>
      <c r="E43" s="122"/>
      <c r="F43" s="23"/>
    </row>
    <row r="44" spans="1:6" ht="15.75" customHeight="1" x14ac:dyDescent="0.25">
      <c r="A44" s="88"/>
      <c r="B44" s="88"/>
      <c r="C44" s="34"/>
      <c r="D44" s="88"/>
      <c r="E44" s="78"/>
      <c r="F44" s="34"/>
    </row>
    <row r="45" spans="1:6" ht="15.75" customHeight="1" x14ac:dyDescent="0.25">
      <c r="A45" s="31"/>
      <c r="B45" s="123"/>
      <c r="C45" s="112"/>
      <c r="D45" s="134">
        <v>45869</v>
      </c>
      <c r="E45" s="125" t="s">
        <v>511</v>
      </c>
      <c r="F45" s="131">
        <f>F46-F39</f>
        <v>1372259.3</v>
      </c>
    </row>
    <row r="46" spans="1:6" ht="15.75" customHeight="1" x14ac:dyDescent="0.25">
      <c r="A46" s="132"/>
      <c r="B46" s="126"/>
      <c r="C46" s="86">
        <f>C40+C39</f>
        <v>1905550.8</v>
      </c>
      <c r="D46" s="135"/>
      <c r="E46" s="128"/>
      <c r="F46" s="86">
        <f>C46</f>
        <v>1905550.8</v>
      </c>
    </row>
    <row r="47" spans="1:6" ht="15.75" customHeight="1" x14ac:dyDescent="0.25"/>
    <row r="48" spans="1:6" ht="15.75" customHeight="1" x14ac:dyDescent="0.25">
      <c r="A48" s="450" t="s">
        <v>699</v>
      </c>
      <c r="B48" s="451"/>
      <c r="C48" s="451"/>
      <c r="D48" s="451"/>
      <c r="E48" s="451"/>
      <c r="F48" s="452"/>
    </row>
    <row r="49" spans="1:6" ht="15.75" customHeight="1" x14ac:dyDescent="0.25">
      <c r="A49" s="252" t="s">
        <v>700</v>
      </c>
      <c r="B49" s="253" t="s">
        <v>701</v>
      </c>
      <c r="C49" s="254" t="s">
        <v>702</v>
      </c>
      <c r="D49" s="252" t="s">
        <v>700</v>
      </c>
      <c r="E49" s="255" t="s">
        <v>701</v>
      </c>
      <c r="F49" s="252" t="s">
        <v>702</v>
      </c>
    </row>
    <row r="50" spans="1:6" ht="15.75" customHeight="1" x14ac:dyDescent="0.25">
      <c r="A50" s="453">
        <v>45869</v>
      </c>
      <c r="B50" s="256" t="s">
        <v>703</v>
      </c>
      <c r="C50" s="259">
        <v>303180</v>
      </c>
      <c r="D50" s="257">
        <v>45869</v>
      </c>
      <c r="E50" s="256" t="s">
        <v>704</v>
      </c>
      <c r="F50" s="259">
        <v>1319048.1000000001</v>
      </c>
    </row>
    <row r="51" spans="1:6" ht="15.75" customHeight="1" x14ac:dyDescent="0.25">
      <c r="A51" s="454"/>
      <c r="B51" s="256" t="s">
        <v>705</v>
      </c>
      <c r="C51" s="259">
        <v>596962</v>
      </c>
      <c r="D51" s="258"/>
      <c r="E51" s="258"/>
      <c r="F51" s="258"/>
    </row>
    <row r="52" spans="1:6" ht="15.75" customHeight="1" x14ac:dyDescent="0.25">
      <c r="A52" s="258"/>
      <c r="B52" s="258"/>
      <c r="C52" s="258"/>
      <c r="D52" s="258"/>
      <c r="E52" s="258"/>
      <c r="F52" s="258"/>
    </row>
    <row r="53" spans="1:6" ht="15.75" customHeight="1" x14ac:dyDescent="0.25">
      <c r="A53" s="258"/>
      <c r="B53" s="258"/>
      <c r="C53" s="258"/>
      <c r="D53" s="258"/>
      <c r="E53" s="258"/>
      <c r="F53" s="258"/>
    </row>
    <row r="54" spans="1:6" ht="15.75" customHeight="1" x14ac:dyDescent="0.25">
      <c r="A54" s="258"/>
      <c r="B54" s="258"/>
      <c r="C54" s="258"/>
      <c r="D54" s="258"/>
      <c r="E54" s="258"/>
      <c r="F54" s="258"/>
    </row>
    <row r="55" spans="1:6" ht="15.75" customHeight="1" thickBot="1" x14ac:dyDescent="0.3">
      <c r="A55" s="263"/>
      <c r="B55" s="263"/>
      <c r="C55" s="263"/>
      <c r="D55" s="258"/>
      <c r="E55" s="258"/>
      <c r="F55" s="258"/>
    </row>
    <row r="56" spans="1:6" ht="15.75" customHeight="1" thickBot="1" x14ac:dyDescent="0.3">
      <c r="A56" s="267">
        <v>45808</v>
      </c>
      <c r="B56" s="268" t="s">
        <v>706</v>
      </c>
      <c r="C56" s="269">
        <v>418906.1</v>
      </c>
      <c r="D56" s="261"/>
      <c r="E56" s="258"/>
      <c r="F56" s="263"/>
    </row>
    <row r="57" spans="1:6" ht="15.75" customHeight="1" thickBot="1" x14ac:dyDescent="0.3">
      <c r="A57" s="264"/>
      <c r="B57" s="265"/>
      <c r="C57" s="266">
        <v>1319048.1000000001</v>
      </c>
      <c r="D57" s="261"/>
      <c r="E57" s="260"/>
      <c r="F57" s="262">
        <v>1319048.1000000001</v>
      </c>
    </row>
    <row r="58" spans="1:6" ht="15.75" customHeight="1" x14ac:dyDescent="0.25"/>
    <row r="59" spans="1:6" ht="15.75" customHeight="1" x14ac:dyDescent="0.25"/>
    <row r="60" spans="1:6" ht="15.75" customHeight="1" x14ac:dyDescent="0.25">
      <c r="A60" s="443" t="s">
        <v>517</v>
      </c>
      <c r="B60" s="443"/>
      <c r="C60" s="443"/>
      <c r="D60" s="443"/>
      <c r="E60" s="443"/>
      <c r="F60" s="443"/>
    </row>
    <row r="61" spans="1:6" ht="15.75" customHeight="1" x14ac:dyDescent="0.25">
      <c r="A61" s="136" t="s">
        <v>1</v>
      </c>
      <c r="B61" s="136" t="s">
        <v>507</v>
      </c>
      <c r="C61" s="136" t="s">
        <v>9</v>
      </c>
      <c r="D61" s="136" t="s">
        <v>1</v>
      </c>
      <c r="E61" s="136" t="s">
        <v>507</v>
      </c>
      <c r="F61" s="136" t="s">
        <v>9</v>
      </c>
    </row>
    <row r="62" spans="1:6" ht="15.75" customHeight="1" x14ac:dyDescent="0.25">
      <c r="A62" s="137">
        <v>45930</v>
      </c>
      <c r="B62" s="138" t="s">
        <v>518</v>
      </c>
      <c r="C62" s="139">
        <v>342850</v>
      </c>
      <c r="D62" s="449">
        <v>45930</v>
      </c>
      <c r="E62" s="140" t="s">
        <v>519</v>
      </c>
      <c r="F62" s="139"/>
    </row>
    <row r="63" spans="1:6" ht="15.75" customHeight="1" x14ac:dyDescent="0.25">
      <c r="A63" s="137">
        <v>45930</v>
      </c>
      <c r="B63" s="138" t="s">
        <v>520</v>
      </c>
      <c r="C63" s="139">
        <v>234921</v>
      </c>
      <c r="D63" s="449"/>
      <c r="E63" s="138" t="s">
        <v>20</v>
      </c>
      <c r="F63" s="139">
        <v>371035.4</v>
      </c>
    </row>
    <row r="64" spans="1:6" ht="15.75" customHeight="1" x14ac:dyDescent="0.25">
      <c r="A64" s="141"/>
      <c r="B64" s="142"/>
      <c r="C64" s="139"/>
      <c r="D64" s="449"/>
      <c r="E64" s="138" t="s">
        <v>44</v>
      </c>
      <c r="F64" s="139">
        <v>1185652</v>
      </c>
    </row>
    <row r="65" spans="1:6" ht="15.75" customHeight="1" x14ac:dyDescent="0.25">
      <c r="A65" s="141"/>
      <c r="B65" s="143"/>
      <c r="C65" s="139"/>
      <c r="D65" s="141"/>
      <c r="E65" s="138"/>
      <c r="F65" s="139"/>
    </row>
    <row r="66" spans="1:6" ht="15.75" customHeight="1" x14ac:dyDescent="0.25">
      <c r="A66" s="144"/>
      <c r="B66" s="138"/>
      <c r="C66" s="139"/>
      <c r="D66" s="141"/>
      <c r="E66" s="138"/>
      <c r="F66" s="139"/>
    </row>
    <row r="67" spans="1:6" ht="15.75" customHeight="1" thickBot="1" x14ac:dyDescent="0.3">
      <c r="A67" s="145"/>
      <c r="B67" s="145"/>
      <c r="C67" s="146"/>
      <c r="D67" s="145"/>
      <c r="E67" s="145"/>
      <c r="F67" s="139"/>
    </row>
    <row r="68" spans="1:6" ht="15.75" customHeight="1" thickBot="1" x14ac:dyDescent="0.3">
      <c r="A68" s="145"/>
      <c r="B68" s="147" t="s">
        <v>521</v>
      </c>
      <c r="C68" s="148">
        <f>C69-SUM(C62:C67)</f>
        <v>978916.39999999991</v>
      </c>
      <c r="D68" s="149"/>
      <c r="E68" s="145"/>
      <c r="F68" s="146"/>
    </row>
    <row r="69" spans="1:6" ht="15.75" customHeight="1" thickBot="1" x14ac:dyDescent="0.3">
      <c r="A69" s="145"/>
      <c r="B69" s="150"/>
      <c r="C69" s="148">
        <f>F69</f>
        <v>1556687.4</v>
      </c>
      <c r="D69" s="149"/>
      <c r="E69" s="150"/>
      <c r="F69" s="148">
        <f>SUM(F62:F66)</f>
        <v>1556687.4</v>
      </c>
    </row>
    <row r="70" spans="1:6" ht="15.75" customHeight="1" x14ac:dyDescent="0.25"/>
    <row r="71" spans="1:6" ht="15.75" customHeight="1" x14ac:dyDescent="0.25"/>
    <row r="72" spans="1:6" ht="15.75" customHeight="1" x14ac:dyDescent="0.25">
      <c r="A72" s="443" t="s">
        <v>837</v>
      </c>
      <c r="B72" s="443"/>
      <c r="C72" s="443"/>
      <c r="D72" s="443"/>
      <c r="E72" s="443"/>
      <c r="F72" s="443"/>
    </row>
    <row r="73" spans="1:6" ht="15.75" customHeight="1" x14ac:dyDescent="0.25">
      <c r="A73" s="136" t="s">
        <v>1</v>
      </c>
      <c r="B73" s="136" t="s">
        <v>507</v>
      </c>
      <c r="C73" s="136" t="s">
        <v>9</v>
      </c>
      <c r="D73" s="136" t="s">
        <v>1</v>
      </c>
      <c r="E73" s="136" t="s">
        <v>507</v>
      </c>
      <c r="F73" s="136" t="s">
        <v>9</v>
      </c>
    </row>
    <row r="74" spans="1:6" ht="15.75" customHeight="1" x14ac:dyDescent="0.25">
      <c r="A74" s="137">
        <v>45930</v>
      </c>
      <c r="B74" s="138" t="s">
        <v>518</v>
      </c>
      <c r="C74" s="139">
        <v>207685</v>
      </c>
      <c r="D74" s="141">
        <v>45930</v>
      </c>
      <c r="E74" s="140" t="s">
        <v>519</v>
      </c>
      <c r="F74" s="139">
        <v>1350397.05</v>
      </c>
    </row>
    <row r="75" spans="1:6" ht="15.75" customHeight="1" x14ac:dyDescent="0.25">
      <c r="A75" s="137">
        <v>45930</v>
      </c>
      <c r="B75" s="138" t="s">
        <v>520</v>
      </c>
      <c r="C75" s="139">
        <v>582024.03</v>
      </c>
      <c r="D75" s="141"/>
      <c r="E75" s="138"/>
      <c r="F75" s="139"/>
    </row>
    <row r="76" spans="1:6" ht="15.75" customHeight="1" x14ac:dyDescent="0.25">
      <c r="A76" s="141"/>
      <c r="B76" s="142"/>
      <c r="C76" s="139"/>
      <c r="D76" s="141"/>
      <c r="E76" s="138"/>
      <c r="F76" s="139"/>
    </row>
    <row r="77" spans="1:6" ht="15.75" customHeight="1" x14ac:dyDescent="0.25">
      <c r="A77" s="141"/>
      <c r="B77" s="143"/>
      <c r="C77" s="139"/>
      <c r="D77" s="141"/>
      <c r="E77" s="138"/>
      <c r="F77" s="139"/>
    </row>
    <row r="78" spans="1:6" ht="15.75" customHeight="1" x14ac:dyDescent="0.25">
      <c r="A78" s="144"/>
      <c r="B78" s="138"/>
      <c r="C78" s="139"/>
      <c r="D78" s="141"/>
      <c r="E78" s="138"/>
      <c r="F78" s="139"/>
    </row>
    <row r="79" spans="1:6" ht="15.75" customHeight="1" thickBot="1" x14ac:dyDescent="0.3">
      <c r="A79" s="145"/>
      <c r="B79" s="145"/>
      <c r="C79" s="146"/>
      <c r="D79" s="145"/>
      <c r="E79" s="145"/>
      <c r="F79" s="139"/>
    </row>
    <row r="80" spans="1:6" ht="15.75" customHeight="1" thickBot="1" x14ac:dyDescent="0.3">
      <c r="A80" s="145"/>
      <c r="B80" s="147" t="s">
        <v>521</v>
      </c>
      <c r="C80" s="148">
        <f>C81-SUM(C74:C79)</f>
        <v>560688.02</v>
      </c>
      <c r="D80" s="149"/>
      <c r="E80" s="145"/>
      <c r="F80" s="146"/>
    </row>
    <row r="81" spans="1:6" ht="15.75" customHeight="1" thickBot="1" x14ac:dyDescent="0.3">
      <c r="A81" s="145"/>
      <c r="B81" s="150"/>
      <c r="C81" s="148">
        <f>F81</f>
        <v>1350397.05</v>
      </c>
      <c r="D81" s="149"/>
      <c r="E81" s="150"/>
      <c r="F81" s="148">
        <f>SUM(F74:F78)</f>
        <v>1350397.05</v>
      </c>
    </row>
    <row r="82" spans="1:6" ht="15.75" customHeight="1" x14ac:dyDescent="0.25"/>
    <row r="83" spans="1:6" ht="15.75" customHeight="1" x14ac:dyDescent="0.25"/>
    <row r="84" spans="1:6" ht="15.75" customHeight="1" x14ac:dyDescent="0.25">
      <c r="A84" s="443" t="s">
        <v>893</v>
      </c>
      <c r="B84" s="443"/>
      <c r="C84" s="443"/>
      <c r="D84" s="443"/>
      <c r="E84" s="443"/>
      <c r="F84" s="443"/>
    </row>
    <row r="85" spans="1:6" ht="15.75" customHeight="1" x14ac:dyDescent="0.25">
      <c r="A85" s="136" t="s">
        <v>1</v>
      </c>
      <c r="B85" s="136" t="s">
        <v>507</v>
      </c>
      <c r="C85" s="136" t="s">
        <v>9</v>
      </c>
      <c r="D85" s="136" t="s">
        <v>1</v>
      </c>
      <c r="E85" s="136" t="s">
        <v>507</v>
      </c>
      <c r="F85" s="136" t="s">
        <v>9</v>
      </c>
    </row>
    <row r="86" spans="1:6" ht="15.75" customHeight="1" x14ac:dyDescent="0.25">
      <c r="A86" s="137">
        <v>45930</v>
      </c>
      <c r="B86" s="138" t="s">
        <v>518</v>
      </c>
      <c r="C86" s="139">
        <v>319730</v>
      </c>
      <c r="D86" s="141">
        <v>45930</v>
      </c>
      <c r="E86" s="140" t="s">
        <v>519</v>
      </c>
      <c r="F86" s="139">
        <v>2012084.15</v>
      </c>
    </row>
    <row r="87" spans="1:6" ht="15.75" customHeight="1" x14ac:dyDescent="0.25">
      <c r="A87" s="137">
        <v>45930</v>
      </c>
      <c r="B87" s="138" t="s">
        <v>520</v>
      </c>
      <c r="C87" s="139">
        <v>63220.05</v>
      </c>
      <c r="D87" s="141"/>
      <c r="E87" s="138"/>
      <c r="F87" s="139"/>
    </row>
    <row r="88" spans="1:6" ht="15.75" customHeight="1" x14ac:dyDescent="0.25">
      <c r="A88" s="141"/>
      <c r="B88" s="142"/>
      <c r="C88" s="139"/>
      <c r="D88" s="141"/>
      <c r="E88" s="138"/>
      <c r="F88" s="139"/>
    </row>
    <row r="89" spans="1:6" ht="15.75" customHeight="1" x14ac:dyDescent="0.25">
      <c r="A89" s="141"/>
      <c r="B89" s="143"/>
      <c r="C89" s="139"/>
      <c r="D89" s="141"/>
      <c r="E89" s="138"/>
      <c r="F89" s="139"/>
    </row>
    <row r="90" spans="1:6" ht="15.75" customHeight="1" x14ac:dyDescent="0.25">
      <c r="A90" s="144"/>
      <c r="B90" s="138"/>
      <c r="C90" s="139"/>
      <c r="D90" s="141"/>
      <c r="E90" s="138"/>
      <c r="F90" s="139"/>
    </row>
    <row r="91" spans="1:6" ht="15.75" customHeight="1" thickBot="1" x14ac:dyDescent="0.3">
      <c r="A91" s="145"/>
      <c r="B91" s="145"/>
      <c r="C91" s="146"/>
      <c r="D91" s="145"/>
      <c r="E91" s="145"/>
      <c r="F91" s="139"/>
    </row>
    <row r="92" spans="1:6" ht="15.75" customHeight="1" thickBot="1" x14ac:dyDescent="0.3">
      <c r="A92" s="145"/>
      <c r="B92" s="147" t="s">
        <v>521</v>
      </c>
      <c r="C92" s="148">
        <f>C93-SUM(C86:C91)</f>
        <v>1629134.0999999999</v>
      </c>
      <c r="D92" s="149"/>
      <c r="E92" s="145"/>
      <c r="F92" s="146"/>
    </row>
    <row r="93" spans="1:6" ht="15.75" customHeight="1" thickBot="1" x14ac:dyDescent="0.3">
      <c r="A93" s="145"/>
      <c r="B93" s="150"/>
      <c r="C93" s="148">
        <f>F93</f>
        <v>2012084.15</v>
      </c>
      <c r="D93" s="149"/>
      <c r="E93" s="150"/>
      <c r="F93" s="148">
        <f>SUM(F86:F90)</f>
        <v>2012084.15</v>
      </c>
    </row>
    <row r="94" spans="1:6" ht="15.75" customHeight="1" x14ac:dyDescent="0.25"/>
    <row r="95" spans="1:6" ht="15.75" customHeight="1" x14ac:dyDescent="0.25"/>
    <row r="96" spans="1:6" ht="15.75" customHeight="1" x14ac:dyDescent="0.25">
      <c r="A96" s="443" t="s">
        <v>1029</v>
      </c>
      <c r="B96" s="443"/>
      <c r="C96" s="443"/>
      <c r="D96" s="443"/>
      <c r="E96" s="443"/>
      <c r="F96" s="443"/>
    </row>
    <row r="97" spans="1:6" ht="15.75" customHeight="1" x14ac:dyDescent="0.25">
      <c r="A97" s="136" t="s">
        <v>1</v>
      </c>
      <c r="B97" s="136" t="s">
        <v>507</v>
      </c>
      <c r="C97" s="136" t="s">
        <v>9</v>
      </c>
      <c r="D97" s="136" t="s">
        <v>1</v>
      </c>
      <c r="E97" s="136" t="s">
        <v>507</v>
      </c>
      <c r="F97" s="136" t="s">
        <v>9</v>
      </c>
    </row>
    <row r="98" spans="1:6" ht="15.75" customHeight="1" x14ac:dyDescent="0.25">
      <c r="A98" s="137">
        <v>46022</v>
      </c>
      <c r="B98" s="138" t="s">
        <v>518</v>
      </c>
      <c r="C98" s="139">
        <v>509051</v>
      </c>
      <c r="D98" s="141">
        <v>46022</v>
      </c>
      <c r="E98" s="140" t="s">
        <v>519</v>
      </c>
      <c r="F98" s="139"/>
    </row>
    <row r="99" spans="1:6" ht="15.75" customHeight="1" x14ac:dyDescent="0.25">
      <c r="A99" s="137">
        <v>46022</v>
      </c>
      <c r="B99" s="138" t="s">
        <v>520</v>
      </c>
      <c r="C99" s="139">
        <v>622447.80000000005</v>
      </c>
      <c r="D99" s="141"/>
      <c r="E99" s="138" t="s">
        <v>20</v>
      </c>
      <c r="F99" s="139">
        <v>511886.5</v>
      </c>
    </row>
    <row r="100" spans="1:6" ht="15.75" customHeight="1" x14ac:dyDescent="0.25">
      <c r="A100" s="137">
        <v>46022</v>
      </c>
      <c r="B100" s="142" t="s">
        <v>1030</v>
      </c>
      <c r="C100" s="139">
        <v>350000</v>
      </c>
      <c r="D100" s="141"/>
      <c r="E100" s="138" t="s">
        <v>44</v>
      </c>
      <c r="F100" s="139">
        <v>2788054.7</v>
      </c>
    </row>
    <row r="101" spans="1:6" ht="15.75" customHeight="1" x14ac:dyDescent="0.25">
      <c r="A101" s="141"/>
      <c r="B101" s="143"/>
      <c r="C101" s="139"/>
      <c r="D101" s="141"/>
      <c r="E101" s="138"/>
      <c r="F101" s="139"/>
    </row>
    <row r="102" spans="1:6" ht="15.75" customHeight="1" x14ac:dyDescent="0.25">
      <c r="A102" s="144"/>
      <c r="B102" s="138"/>
      <c r="C102" s="139"/>
      <c r="D102" s="141"/>
      <c r="E102" s="138"/>
      <c r="F102" s="139"/>
    </row>
    <row r="103" spans="1:6" ht="15.75" customHeight="1" thickBot="1" x14ac:dyDescent="0.3">
      <c r="A103" s="145"/>
      <c r="B103" s="145"/>
      <c r="C103" s="146"/>
      <c r="D103" s="145"/>
      <c r="E103" s="145"/>
      <c r="F103" s="139"/>
    </row>
    <row r="104" spans="1:6" ht="15.75" customHeight="1" thickBot="1" x14ac:dyDescent="0.3">
      <c r="A104" s="145"/>
      <c r="B104" s="147" t="s">
        <v>521</v>
      </c>
      <c r="C104" s="148">
        <f>C105-C98-C99-C100</f>
        <v>1818442.4000000004</v>
      </c>
      <c r="D104" s="149"/>
      <c r="E104" s="145"/>
      <c r="F104" s="146"/>
    </row>
    <row r="105" spans="1:6" ht="15.75" customHeight="1" thickBot="1" x14ac:dyDescent="0.3">
      <c r="A105" s="145"/>
      <c r="B105" s="150"/>
      <c r="C105" s="148">
        <f>F105</f>
        <v>3299941.2</v>
      </c>
      <c r="D105" s="149"/>
      <c r="E105" s="150"/>
      <c r="F105" s="148">
        <f>SUM(F98:F102)</f>
        <v>3299941.2</v>
      </c>
    </row>
    <row r="106" spans="1:6" ht="15.75" customHeight="1" x14ac:dyDescent="0.25"/>
    <row r="107" spans="1:6" ht="15.75" customHeight="1" x14ac:dyDescent="0.25"/>
    <row r="108" spans="1:6" ht="15.75" customHeight="1" x14ac:dyDescent="0.25">
      <c r="A108" s="443" t="s">
        <v>1149</v>
      </c>
      <c r="B108" s="443"/>
      <c r="C108" s="443"/>
      <c r="D108" s="443"/>
      <c r="E108" s="443"/>
      <c r="F108" s="443"/>
    </row>
    <row r="109" spans="1:6" ht="15.75" customHeight="1" x14ac:dyDescent="0.25">
      <c r="A109" s="136" t="s">
        <v>1</v>
      </c>
      <c r="B109" s="136" t="s">
        <v>507</v>
      </c>
      <c r="C109" s="136" t="s">
        <v>9</v>
      </c>
      <c r="D109" s="136" t="s">
        <v>1</v>
      </c>
      <c r="E109" s="136" t="s">
        <v>507</v>
      </c>
      <c r="F109" s="136" t="s">
        <v>9</v>
      </c>
    </row>
    <row r="110" spans="1:6" ht="15.75" customHeight="1" x14ac:dyDescent="0.25">
      <c r="A110" s="141">
        <v>46081</v>
      </c>
      <c r="B110" s="138" t="s">
        <v>518</v>
      </c>
      <c r="C110" s="139">
        <v>320850</v>
      </c>
      <c r="D110" s="141">
        <v>46081</v>
      </c>
      <c r="E110" s="140" t="s">
        <v>519</v>
      </c>
      <c r="F110" s="139">
        <v>1029934.75</v>
      </c>
    </row>
    <row r="111" spans="1:6" ht="15.75" customHeight="1" x14ac:dyDescent="0.25">
      <c r="A111" s="141">
        <v>46081</v>
      </c>
      <c r="B111" s="138" t="s">
        <v>520</v>
      </c>
      <c r="C111" s="139">
        <v>730611.8</v>
      </c>
      <c r="D111" s="141"/>
      <c r="E111" s="138"/>
      <c r="F111" s="139"/>
    </row>
    <row r="112" spans="1:6" ht="15.75" customHeight="1" x14ac:dyDescent="0.25">
      <c r="A112" s="137"/>
      <c r="B112" s="142"/>
      <c r="C112" s="139"/>
      <c r="D112" s="141"/>
      <c r="E112" s="138"/>
      <c r="F112" s="139"/>
    </row>
    <row r="113" spans="1:6" ht="15.75" customHeight="1" x14ac:dyDescent="0.25">
      <c r="A113" s="141"/>
      <c r="B113" s="143"/>
      <c r="C113" s="139"/>
      <c r="D113" s="141"/>
      <c r="E113" s="138"/>
      <c r="F113" s="139"/>
    </row>
    <row r="114" spans="1:6" ht="15.75" customHeight="1" x14ac:dyDescent="0.25">
      <c r="A114" s="144"/>
      <c r="B114" s="138"/>
      <c r="C114" s="139"/>
      <c r="D114" s="141"/>
      <c r="E114" s="138"/>
      <c r="F114" s="139"/>
    </row>
    <row r="115" spans="1:6" ht="15.75" customHeight="1" thickBot="1" x14ac:dyDescent="0.3">
      <c r="A115" s="145"/>
      <c r="B115" s="145"/>
      <c r="C115" s="139"/>
      <c r="D115" s="141"/>
      <c r="E115" s="441"/>
      <c r="F115" s="139"/>
    </row>
    <row r="116" spans="1:6" ht="15.75" customHeight="1" thickBot="1" x14ac:dyDescent="0.3">
      <c r="A116" s="145"/>
      <c r="B116" s="145"/>
      <c r="C116" s="145"/>
      <c r="D116" s="150"/>
      <c r="E116" s="442" t="s">
        <v>1236</v>
      </c>
      <c r="F116" s="148">
        <f>C117-C110-C111-C112</f>
        <v>-21527.050000000047</v>
      </c>
    </row>
    <row r="117" spans="1:6" ht="15.75" customHeight="1" thickBot="1" x14ac:dyDescent="0.3">
      <c r="A117" s="437"/>
      <c r="B117" s="438"/>
      <c r="C117" s="439">
        <f>F117</f>
        <v>1029934.75</v>
      </c>
      <c r="D117" s="440"/>
      <c r="E117" s="438"/>
      <c r="F117" s="148">
        <f>SUM(F110:F115)</f>
        <v>1029934.75</v>
      </c>
    </row>
    <row r="118" spans="1:6" ht="15.75" customHeight="1" x14ac:dyDescent="0.25"/>
    <row r="119" spans="1:6" ht="15.75" customHeight="1" x14ac:dyDescent="0.25"/>
    <row r="120" spans="1:6" ht="15.75" customHeight="1" x14ac:dyDescent="0.25"/>
    <row r="121" spans="1:6" ht="15.75" customHeight="1" x14ac:dyDescent="0.25"/>
    <row r="122" spans="1:6" ht="15.75" customHeight="1" x14ac:dyDescent="0.25"/>
    <row r="123" spans="1:6" ht="15.75" customHeight="1" x14ac:dyDescent="0.25"/>
    <row r="124" spans="1:6" ht="15.75" customHeight="1" x14ac:dyDescent="0.25"/>
    <row r="125" spans="1:6" ht="15.75" customHeight="1" x14ac:dyDescent="0.25"/>
    <row r="126" spans="1:6" ht="15.75" customHeight="1" x14ac:dyDescent="0.25"/>
    <row r="127" spans="1:6" ht="15.75" customHeight="1" x14ac:dyDescent="0.25"/>
    <row r="128" spans="1:6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</sheetData>
  <mergeCells count="16">
    <mergeCell ref="A108:F108"/>
    <mergeCell ref="A96:F96"/>
    <mergeCell ref="A72:F72"/>
    <mergeCell ref="A84:F84"/>
    <mergeCell ref="A1:F1"/>
    <mergeCell ref="A3:A4"/>
    <mergeCell ref="A13:F13"/>
    <mergeCell ref="A15:A16"/>
    <mergeCell ref="A25:F25"/>
    <mergeCell ref="A27:A28"/>
    <mergeCell ref="A37:F37"/>
    <mergeCell ref="A39:A40"/>
    <mergeCell ref="A60:F60"/>
    <mergeCell ref="D62:D64"/>
    <mergeCell ref="A48:F48"/>
    <mergeCell ref="A50:A51"/>
  </mergeCells>
  <pageMargins left="0.7" right="0.7" top="0.75" bottom="0.75" header="0" footer="0"/>
  <pageSetup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EF7C5-45FE-4B7F-A1D0-BBCCB3209061}">
  <dimension ref="A1:C35"/>
  <sheetViews>
    <sheetView topLeftCell="A16" workbookViewId="0">
      <selection sqref="A1:C35"/>
    </sheetView>
  </sheetViews>
  <sheetFormatPr defaultRowHeight="15" x14ac:dyDescent="0.25"/>
  <cols>
    <col min="1" max="1" width="31.140625" bestFit="1" customWidth="1"/>
    <col min="2" max="3" width="14.28515625" bestFit="1" customWidth="1"/>
  </cols>
  <sheetData>
    <row r="1" spans="1:3" ht="15.75" thickBot="1" x14ac:dyDescent="0.3">
      <c r="A1" s="524" t="s">
        <v>1031</v>
      </c>
      <c r="B1" s="525"/>
      <c r="C1" s="526"/>
    </row>
    <row r="2" spans="1:3" ht="15.75" thickBot="1" x14ac:dyDescent="0.3">
      <c r="A2" s="336" t="s">
        <v>211</v>
      </c>
      <c r="B2" s="337" t="s">
        <v>913</v>
      </c>
      <c r="C2" s="338" t="s">
        <v>914</v>
      </c>
    </row>
    <row r="3" spans="1:3" x14ac:dyDescent="0.25">
      <c r="A3" s="341" t="s">
        <v>915</v>
      </c>
      <c r="B3" s="342">
        <v>130000</v>
      </c>
      <c r="C3" s="346"/>
    </row>
    <row r="4" spans="1:3" x14ac:dyDescent="0.25">
      <c r="A4" s="392" t="s">
        <v>1032</v>
      </c>
      <c r="B4" s="340">
        <v>198780</v>
      </c>
      <c r="C4" s="345"/>
    </row>
    <row r="5" spans="1:3" x14ac:dyDescent="0.25">
      <c r="A5" s="392" t="s">
        <v>1033</v>
      </c>
      <c r="B5" s="340">
        <v>418526</v>
      </c>
      <c r="C5" s="345"/>
    </row>
    <row r="6" spans="1:3" x14ac:dyDescent="0.25">
      <c r="A6" s="343" t="s">
        <v>134</v>
      </c>
      <c r="B6" s="335"/>
      <c r="C6" s="345">
        <v>13243</v>
      </c>
    </row>
    <row r="7" spans="1:3" x14ac:dyDescent="0.25">
      <c r="A7" s="344" t="s">
        <v>916</v>
      </c>
      <c r="B7" s="335"/>
      <c r="C7" s="345">
        <v>574510</v>
      </c>
    </row>
    <row r="8" spans="1:3" x14ac:dyDescent="0.25">
      <c r="A8" s="344" t="s">
        <v>752</v>
      </c>
      <c r="B8" s="335"/>
      <c r="C8" s="345">
        <v>233290</v>
      </c>
    </row>
    <row r="9" spans="1:3" x14ac:dyDescent="0.25">
      <c r="A9" s="344" t="s">
        <v>73</v>
      </c>
      <c r="B9" s="335"/>
      <c r="C9" s="345">
        <v>1001</v>
      </c>
    </row>
    <row r="10" spans="1:3" x14ac:dyDescent="0.25">
      <c r="A10" s="344" t="s">
        <v>917</v>
      </c>
      <c r="B10" s="335"/>
      <c r="C10" s="345">
        <v>326733</v>
      </c>
    </row>
    <row r="11" spans="1:3" x14ac:dyDescent="0.25">
      <c r="A11" s="344" t="s">
        <v>918</v>
      </c>
      <c r="B11" s="335"/>
      <c r="C11" s="345">
        <v>104517</v>
      </c>
    </row>
    <row r="12" spans="1:3" x14ac:dyDescent="0.25">
      <c r="A12" s="344" t="s">
        <v>919</v>
      </c>
      <c r="B12" s="335"/>
      <c r="C12" s="345">
        <v>29738</v>
      </c>
    </row>
    <row r="13" spans="1:3" x14ac:dyDescent="0.25">
      <c r="A13" s="344" t="s">
        <v>920</v>
      </c>
      <c r="B13" s="335"/>
      <c r="C13" s="345">
        <v>13689</v>
      </c>
    </row>
    <row r="14" spans="1:3" x14ac:dyDescent="0.25">
      <c r="A14" s="344" t="s">
        <v>921</v>
      </c>
      <c r="B14" s="335"/>
      <c r="C14" s="345">
        <v>29708</v>
      </c>
    </row>
    <row r="15" spans="1:3" x14ac:dyDescent="0.25">
      <c r="A15" s="344" t="s">
        <v>922</v>
      </c>
      <c r="B15" s="335"/>
      <c r="C15" s="345">
        <v>154940</v>
      </c>
    </row>
    <row r="16" spans="1:3" x14ac:dyDescent="0.25">
      <c r="A16" s="344" t="s">
        <v>923</v>
      </c>
      <c r="B16" s="335"/>
      <c r="C16" s="345">
        <v>59994</v>
      </c>
    </row>
    <row r="17" spans="1:3" x14ac:dyDescent="0.25">
      <c r="A17" s="344" t="s">
        <v>924</v>
      </c>
      <c r="B17" s="335"/>
      <c r="C17" s="345">
        <v>496306</v>
      </c>
    </row>
    <row r="18" spans="1:3" x14ac:dyDescent="0.25">
      <c r="A18" s="344" t="s">
        <v>925</v>
      </c>
      <c r="B18" s="335"/>
      <c r="C18" s="345">
        <v>3410</v>
      </c>
    </row>
    <row r="19" spans="1:3" x14ac:dyDescent="0.25">
      <c r="A19" s="344" t="s">
        <v>926</v>
      </c>
      <c r="B19" s="335"/>
      <c r="C19" s="345">
        <v>5855</v>
      </c>
    </row>
    <row r="20" spans="1:3" x14ac:dyDescent="0.25">
      <c r="A20" s="344" t="s">
        <v>750</v>
      </c>
      <c r="B20" s="335"/>
      <c r="C20" s="345">
        <v>27092</v>
      </c>
    </row>
    <row r="21" spans="1:3" x14ac:dyDescent="0.25">
      <c r="A21" s="344" t="s">
        <v>927</v>
      </c>
      <c r="B21" s="335"/>
      <c r="C21" s="345">
        <v>963163.56</v>
      </c>
    </row>
    <row r="22" spans="1:3" x14ac:dyDescent="0.25">
      <c r="A22" s="344" t="s">
        <v>205</v>
      </c>
      <c r="B22" s="335"/>
      <c r="C22" s="345">
        <v>21238</v>
      </c>
    </row>
    <row r="23" spans="1:3" x14ac:dyDescent="0.25">
      <c r="A23" s="344" t="s">
        <v>50</v>
      </c>
      <c r="B23" s="335"/>
      <c r="C23" s="345">
        <v>1120210</v>
      </c>
    </row>
    <row r="24" spans="1:3" x14ac:dyDescent="0.25">
      <c r="A24" s="343" t="s">
        <v>741</v>
      </c>
      <c r="B24" s="335"/>
      <c r="C24" s="345">
        <v>9568</v>
      </c>
    </row>
    <row r="25" spans="1:3" x14ac:dyDescent="0.25">
      <c r="A25" s="343" t="s">
        <v>46</v>
      </c>
      <c r="B25" s="335">
        <v>659</v>
      </c>
      <c r="C25" s="345"/>
    </row>
    <row r="26" spans="1:3" x14ac:dyDescent="0.25">
      <c r="A26" s="343" t="s">
        <v>745</v>
      </c>
      <c r="B26" s="335"/>
      <c r="C26" s="345">
        <v>2465</v>
      </c>
    </row>
    <row r="27" spans="1:3" x14ac:dyDescent="0.25">
      <c r="A27" s="343" t="s">
        <v>928</v>
      </c>
      <c r="B27" s="335"/>
      <c r="C27" s="345">
        <v>605381</v>
      </c>
    </row>
    <row r="28" spans="1:3" x14ac:dyDescent="0.25">
      <c r="A28" s="343" t="s">
        <v>589</v>
      </c>
      <c r="B28" s="335"/>
      <c r="C28" s="345">
        <v>12654</v>
      </c>
    </row>
    <row r="29" spans="1:3" x14ac:dyDescent="0.25">
      <c r="A29" s="343" t="s">
        <v>929</v>
      </c>
      <c r="B29" s="335"/>
      <c r="C29" s="345">
        <v>214335</v>
      </c>
    </row>
    <row r="30" spans="1:3" x14ac:dyDescent="0.25">
      <c r="A30" s="343" t="s">
        <v>930</v>
      </c>
      <c r="B30" s="335"/>
      <c r="C30" s="345">
        <v>56294</v>
      </c>
    </row>
    <row r="31" spans="1:3" x14ac:dyDescent="0.25">
      <c r="A31" s="343" t="s">
        <v>931</v>
      </c>
      <c r="B31" s="335"/>
      <c r="C31" s="345">
        <v>0</v>
      </c>
    </row>
    <row r="32" spans="1:3" x14ac:dyDescent="0.25">
      <c r="A32" s="343" t="s">
        <v>932</v>
      </c>
      <c r="B32" s="335"/>
      <c r="C32" s="345">
        <v>98209</v>
      </c>
    </row>
    <row r="33" spans="1:3" x14ac:dyDescent="0.25">
      <c r="A33" s="343" t="s">
        <v>933</v>
      </c>
      <c r="B33" s="335"/>
      <c r="C33" s="345">
        <v>4643</v>
      </c>
    </row>
    <row r="34" spans="1:3" ht="15.75" thickBot="1" x14ac:dyDescent="0.3">
      <c r="A34" s="348" t="s">
        <v>935</v>
      </c>
      <c r="B34" s="347">
        <v>2196444</v>
      </c>
      <c r="C34" s="169"/>
    </row>
    <row r="35" spans="1:3" ht="15.75" thickBot="1" x14ac:dyDescent="0.3">
      <c r="A35" s="349" t="s">
        <v>83</v>
      </c>
      <c r="B35" s="350">
        <f>SUM(B3:B34)</f>
        <v>2944409</v>
      </c>
      <c r="C35" s="351">
        <f>SUM(C3:C34)</f>
        <v>5182186.5600000005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DISPTACH</vt:lpstr>
      <vt:lpstr>RECEIVING</vt:lpstr>
      <vt:lpstr>EXP.</vt:lpstr>
      <vt:lpstr>P&amp;L</vt:lpstr>
      <vt:lpstr>PAYABLES AND RECEIVABLES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2025-12-07T10:13:47Z</cp:lastPrinted>
  <dcterms:created xsi:type="dcterms:W3CDTF">2025-04-07T05:31:47Z</dcterms:created>
  <dcterms:modified xsi:type="dcterms:W3CDTF">2026-03-21T13:32:55Z</dcterms:modified>
</cp:coreProperties>
</file>